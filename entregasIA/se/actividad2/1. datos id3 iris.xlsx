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iris_data_csv" sheetId="1" state="visible" r:id="rId1"/>
    <sheet name="discretizacion" sheetId="2" state="visible" r:id="rId2"/>
    <sheet name="datos" sheetId="3" state="visible" r:id="rId3"/>
    <sheet name="raiz_entropia_ganancia" sheetId="4" state="visible" r:id="rId4"/>
    <sheet name="nivel2_petalw_mediano_grande" sheetId="5" state="visible" r:id="rId5"/>
    <sheet name="arbol_resultado" sheetId="6" state="visible" r:id="rId6"/>
    <sheet name="evaluacion_clasificacion" sheetId="7" state="visible" r:id="rId7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<sst xmlns="http://schemas.openxmlformats.org/spreadsheetml/2006/main" count="112" uniqueCount="112">
  <si>
    <t>sepall</t>
  </si>
  <si>
    <t>sepalw</t>
  </si>
  <si>
    <t>petall</t>
  </si>
  <si>
    <t>petalw</t>
  </si>
  <si>
    <t>clase</t>
  </si>
  <si>
    <t>Iris-setosa</t>
  </si>
  <si>
    <t>Iris-versicolor</t>
  </si>
  <si>
    <t>Iris-virginica</t>
  </si>
  <si>
    <t xml:space="preserve">Discretizacion </t>
  </si>
  <si>
    <t xml:space="preserve">Criterio: para cada atributo, umbral1 = minimo + (maximo-minimo)/3 y umbral2 = minimo + 2*(maximo-minimo)/3 (3 partes de ancho igual sobre el rango de iris.data.csv). value&lt;=umbral1 -&gt; chico; umbral1&lt;value&lt;=umbral2 -&gt; mediano; value&gt;umbral2 -&gt; grande. ID3 necesita atributos nominales, por eso se discretiza; esta clasificacion sale unicamente de iris.data.csv (min y max de cada columna), sin usar ningun otro archivo.</t>
  </si>
  <si>
    <t xml:space="preserve">Umbrales usados (calculados con MIN/MAX de iris_data_csv):</t>
  </si>
  <si>
    <t>atributo</t>
  </si>
  <si>
    <t>minimo</t>
  </si>
  <si>
    <t>maximo</t>
  </si>
  <si>
    <t xml:space="preserve">umbral1 = min+(max-min)/3</t>
  </si>
  <si>
    <t xml:space="preserve">umbral2 = min+2(max-min)/3</t>
  </si>
  <si>
    <t>sepall_cat</t>
  </si>
  <si>
    <t>sepalw_cat</t>
  </si>
  <si>
    <t>petall_cat</t>
  </si>
  <si>
    <t>petalw_cat</t>
  </si>
  <si>
    <t>id</t>
  </si>
  <si>
    <t xml:space="preserve">NODO RAIZ </t>
  </si>
  <si>
    <t xml:space="preserve">1) Distribucion de clases en S</t>
  </si>
  <si>
    <t xml:space="preserve">cantidad (n)</t>
  </si>
  <si>
    <t xml:space="preserve">proporcion p</t>
  </si>
  <si>
    <t>setosa</t>
  </si>
  <si>
    <t>versicolor</t>
  </si>
  <si>
    <t>virginica</t>
  </si>
  <si>
    <t xml:space="preserve">2) Entropia(S) = -Σ p_i * log2(p_i)</t>
  </si>
  <si>
    <t xml:space="preserve">Entropia(S) =</t>
  </si>
  <si>
    <t xml:space="preserve">3) Tablas de frecuencia, entropia por subconjunto y Ganancia, para cada atributo</t>
  </si>
  <si>
    <t xml:space="preserve">Atributo: sepall</t>
  </si>
  <si>
    <t>valor</t>
  </si>
  <si>
    <t>n(setosa)</t>
  </si>
  <si>
    <t>n(versicolor)</t>
  </si>
  <si>
    <t>n(virginica)</t>
  </si>
  <si>
    <t xml:space="preserve">n(v) total</t>
  </si>
  <si>
    <t>p(setosa)</t>
  </si>
  <si>
    <t>p(versicolor)</t>
  </si>
  <si>
    <t>p(virginica)</t>
  </si>
  <si>
    <t>Entropia(Sv)</t>
  </si>
  <si>
    <t>chico</t>
  </si>
  <si>
    <t>mediano</t>
  </si>
  <si>
    <t>grande</t>
  </si>
  <si>
    <t xml:space="preserve">Entropia ponderada despues de dividir =</t>
  </si>
  <si>
    <t xml:space="preserve">GANANCIA Gain(S,sepall) =</t>
  </si>
  <si>
    <t xml:space="preserve">Atributo: sepalw</t>
  </si>
  <si>
    <t xml:space="preserve">GANANCIA Gain(S,sepalw) =</t>
  </si>
  <si>
    <t xml:space="preserve">Atributo: petall</t>
  </si>
  <si>
    <t xml:space="preserve">GANANCIA Gain(S,petall) =</t>
  </si>
  <si>
    <t xml:space="preserve">Atributo: petalw</t>
  </si>
  <si>
    <t xml:space="preserve">GANANCIA Gain(S,petalw) =</t>
  </si>
  <si>
    <t xml:space="preserve">4) Comparacion de ganancias — el atributo raiz es el de MAYOR ganancia</t>
  </si>
  <si>
    <t>Ganancia</t>
  </si>
  <si>
    <t xml:space="preserve">Atributo elegido (raiz) =</t>
  </si>
  <si>
    <t xml:space="preserve">NIVEL 2 — Sub-arboles de las ramas petalw=mediano y petalw=grande (atributo restante con mayor ganancia)</t>
  </si>
  <si>
    <t xml:space="preserve">Rama: petalw = mediano</t>
  </si>
  <si>
    <t xml:space="preserve">total n(v)</t>
  </si>
  <si>
    <t xml:space="preserve">Entropia(rama) =</t>
  </si>
  <si>
    <t xml:space="preserve">  Sub-atributo: sepall</t>
  </si>
  <si>
    <t xml:space="preserve">Entropia ponderada despues =</t>
  </si>
  <si>
    <t xml:space="preserve">GANANCIA Gain(rama,sepall) =</t>
  </si>
  <si>
    <t xml:space="preserve">  Sub-atributo: sepalw</t>
  </si>
  <si>
    <t xml:space="preserve">GANANCIA Gain(rama,sepalw) =</t>
  </si>
  <si>
    <t xml:space="preserve">  Sub-atributo: petall</t>
  </si>
  <si>
    <t xml:space="preserve">GANANCIA Gain(rama,petall) =</t>
  </si>
  <si>
    <t xml:space="preserve">Comparacion de ganancias en esta rama:</t>
  </si>
  <si>
    <t xml:space="preserve">Atributo elegido para petalw=mediano =</t>
  </si>
  <si>
    <t xml:space="preserve">Rama: petalw = grande</t>
  </si>
  <si>
    <t xml:space="preserve">Atributo elegido para petalw=grande =</t>
  </si>
  <si>
    <t xml:space="preserve">ARBOL ID3 COMPLETO (sin poda) — recorrido nivel por nivel</t>
  </si>
  <si>
    <t>Nivel</t>
  </si>
  <si>
    <t xml:space="preserve">Regla (ruta desde la raiz)</t>
  </si>
  <si>
    <t xml:space="preserve">n (instancias)</t>
  </si>
  <si>
    <t>Tipo</t>
  </si>
  <si>
    <t xml:space="preserve">Decision / Atributo de division</t>
  </si>
  <si>
    <t>Nota</t>
  </si>
  <si>
    <t xml:space="preserve">(S completo)</t>
  </si>
  <si>
    <t>NODO</t>
  </si>
  <si>
    <t xml:space="preserve">divide por: petalw  (entropia=1.5850, ganancia=1.3784)</t>
  </si>
  <si>
    <t xml:space="preserve">    petalw = chico</t>
  </si>
  <si>
    <t>HOJA</t>
  </si>
  <si>
    <t xml:space="preserve">entropia 0, todos la misma clase</t>
  </si>
  <si>
    <t xml:space="preserve">    petalw = mediano</t>
  </si>
  <si>
    <t xml:space="preserve">divide por: petall  (entropia=0.4451, ganancia=0.2132)</t>
  </si>
  <si>
    <t xml:space="preserve">        petall = chico</t>
  </si>
  <si>
    <t xml:space="preserve">subconjunto vacio -&gt; clase mayoritaria del padre</t>
  </si>
  <si>
    <t xml:space="preserve">        petall = mediano</t>
  </si>
  <si>
    <t xml:space="preserve">divide por: sepall  (entropia=0.1461, ganancia=0.0426)</t>
  </si>
  <si>
    <t xml:space="preserve">            sepall = chico</t>
  </si>
  <si>
    <t xml:space="preserve">divide por: sepalw  (entropia=0.4138, ganancia=0.0109)</t>
  </si>
  <si>
    <t xml:space="preserve">                sepalw = chico</t>
  </si>
  <si>
    <t xml:space="preserve">sin atributos restantes -&gt; clase mayoritaria</t>
  </si>
  <si>
    <t xml:space="preserve">                sepalw = mediano</t>
  </si>
  <si>
    <t xml:space="preserve">                sepalw = grande</t>
  </si>
  <si>
    <t xml:space="preserve">            sepall = mediano</t>
  </si>
  <si>
    <t xml:space="preserve">            sepall = grande</t>
  </si>
  <si>
    <t xml:space="preserve">        petall = grande</t>
  </si>
  <si>
    <t xml:space="preserve">divide por: sepall  (entropia=0.9183, ganancia=0.1092)</t>
  </si>
  <si>
    <t xml:space="preserve">divide por: sepalw  (entropia=0.9710, ganancia=0.3219)</t>
  </si>
  <si>
    <t xml:space="preserve">    petalw = grande</t>
  </si>
  <si>
    <t xml:space="preserve">divide por: petall  (entropia=0.1511, ganancia=0.0663)</t>
  </si>
  <si>
    <t xml:space="preserve">divide por: sepalw  (entropia=0.6500, ganancia=0.1909)</t>
  </si>
  <si>
    <t xml:space="preserve">            sepalw = chico</t>
  </si>
  <si>
    <t xml:space="preserve">            sepalw = mediano</t>
  </si>
  <si>
    <t xml:space="preserve">divide por: sepall  (entropia=0.9183, ganancia=0.0000)</t>
  </si>
  <si>
    <t xml:space="preserve">                sepall = chico</t>
  </si>
  <si>
    <t xml:space="preserve">                sepall = mediano</t>
  </si>
  <si>
    <t xml:space="preserve">                sepall = grande</t>
  </si>
  <si>
    <t xml:space="preserve">            sepalw = grande</t>
  </si>
  <si>
    <t xml:space="preserve">EVALUACION — clasificacion de las 150 instancias con el arbol ID3 y matriz de confusion</t>
  </si>
  <si>
    <t xml:space="preserve">clase real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</si>
</sst>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9">
    <font>
      <sz val="11.000000"/>
      <color theme="1"/>
      <name val="Calibri"/>
    </font>
    <font>
      <b/>
      <sz val="12.000000"/>
      <color indexed="65"/>
      <name val="Arial"/>
    </font>
    <font>
      <b/>
      <sz val="11.000000"/>
      <name val="Arial"/>
    </font>
    <font>
      <sz val="11.000000"/>
      <name val="Arial"/>
    </font>
    <font>
      <i/>
      <sz val="9.000000"/>
      <name val="Arial"/>
    </font>
    <font>
      <b/>
      <i/>
      <sz val="11.000000"/>
      <name val="Arial"/>
    </font>
    <font>
      <i/>
      <sz val="11.000000"/>
      <name val="Arial"/>
    </font>
    <font>
      <b/>
      <sz val="11.000000"/>
      <color rgb="FFC00000"/>
      <name val="Arial"/>
    </font>
    <font>
      <b/>
      <sz val="12.000000"/>
      <color rgb="FF1F4E78"/>
      <name val="Arial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8"/>
        <bgColor indexed="56"/>
      </patternFill>
    </fill>
    <fill>
      <patternFill patternType="solid">
        <fgColor theme="3" tint="0.59999389629810485"/>
      </patternFill>
    </fill>
    <fill>
      <patternFill patternType="solid">
        <fgColor rgb="FFE2EFDA"/>
        <bgColor rgb="FFD9E1F2"/>
      </patternFill>
    </fill>
    <fill>
      <patternFill patternType="solid">
        <fgColor rgb="FFFCE4E4"/>
        <bgColor rgb="FFE2EFDA"/>
      </patternFill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0" tint="0"/>
        <bgColor theme="0" tint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1" fillId="0" borderId="0" numFmtId="0" xfId="0" applyFont="1"/>
    <xf fontId="2" fillId="2" borderId="1" numFmtId="0" xfId="0" applyFont="1" applyFill="1" applyBorder="1"/>
    <xf fontId="3" fillId="0" borderId="1" numFmtId="0" xfId="0" applyFont="1" applyBorder="1"/>
    <xf fontId="1" fillId="3" borderId="0" numFmtId="0" xfId="0" applyFont="1" applyFill="1"/>
    <xf fontId="4" fillId="0" borderId="0" numFmtId="0" xfId="0" applyFont="1" applyAlignment="1">
      <alignment vertical="top" wrapText="1"/>
    </xf>
    <xf fontId="2" fillId="0" borderId="0" numFmtId="0" xfId="0" applyFont="1"/>
    <xf fontId="0" fillId="0" borderId="1" numFmtId="0" xfId="0" applyBorder="1"/>
    <xf fontId="0" fillId="0" borderId="1" numFmtId="164" xfId="0" applyNumberFormat="1" applyBorder="1"/>
    <xf fontId="2" fillId="2" borderId="1" numFmtId="0" xfId="0" applyFont="1" applyFill="1" applyBorder="1" applyAlignment="1">
      <alignment horizontal="center" vertical="center" wrapText="1"/>
    </xf>
    <xf fontId="1" fillId="4" borderId="0" numFmtId="0" xfId="0" applyFont="1" applyFill="1" applyAlignment="1">
      <alignment vertical="center"/>
    </xf>
    <xf fontId="1" fillId="0" borderId="0" numFmtId="0" xfId="0" applyFont="1" applyAlignment="1">
      <alignment vertical="center"/>
    </xf>
    <xf fontId="0" fillId="0" borderId="1" numFmtId="165" xfId="0" applyNumberFormat="1" applyBorder="1"/>
    <xf fontId="2" fillId="0" borderId="0" numFmtId="165" xfId="0" applyNumberFormat="1" applyFont="1"/>
    <xf fontId="5" fillId="0" borderId="0" numFmtId="0" xfId="0" applyFont="1"/>
    <xf fontId="6" fillId="0" borderId="0" numFmtId="0" xfId="0" applyFont="1"/>
    <xf fontId="0" fillId="0" borderId="0" numFmtId="165" xfId="0" applyNumberFormat="1"/>
    <xf fontId="7" fillId="0" borderId="0" numFmtId="165" xfId="0" applyNumberFormat="1" applyFont="1"/>
    <xf fontId="7" fillId="5" borderId="0" numFmtId="0" xfId="0" applyFont="1" applyFill="1"/>
    <xf fontId="8" fillId="0" borderId="0" numFmtId="0" xfId="0" applyFont="1"/>
    <xf fontId="0" fillId="5" borderId="1" numFmtId="0" xfId="0" applyFill="1" applyBorder="1"/>
    <xf fontId="0" fillId="6" borderId="1" numFmtId="0" xfId="0" applyFill="1" applyBorder="1"/>
    <xf fontId="1" fillId="7" borderId="2" numFmtId="0" xfId="0" applyFont="1" applyFill="1" applyBorder="1" applyAlignment="1">
      <alignment horizontal="center"/>
    </xf>
    <xf fontId="1" fillId="8" borderId="0" numFmtId="0" xfId="0" applyFont="1" applyFill="1"/>
    <xf fontId="2" fillId="2" borderId="2" numFmtId="0" xfId="0" applyFont="1" applyFill="1" applyBorder="1"/>
    <xf fontId="0" fillId="0" borderId="2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2" topLeftCell="A3" activePane="bottomLeft" state="frozen"/>
      <selection activeCell="E152" activeCellId="0" sqref="A3:E152"/>
    </sheetView>
  </sheetViews>
  <sheetFormatPr defaultColWidth="8.6640625" defaultRowHeight="14.4"/>
  <cols>
    <col customWidth="1" min="1" max="1" width="6"/>
    <col customWidth="1" min="2" max="5" width="10"/>
    <col customWidth="1" min="6" max="6" width="16"/>
  </cols>
  <sheetData>
    <row r="1" ht="19.5" customHeight="1">
      <c r="A1" s="1"/>
      <c r="B1" s="1"/>
      <c r="C1" s="1"/>
      <c r="D1" s="1"/>
      <c r="E1" s="1"/>
      <c r="F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>
      <c r="A3" s="3">
        <v>5.0999999999999996</v>
      </c>
      <c r="B3" s="3">
        <v>3.5</v>
      </c>
      <c r="C3" s="3">
        <v>1.3999999999999999</v>
      </c>
      <c r="D3" s="3">
        <v>0.20000000000000001</v>
      </c>
      <c r="E3" s="3" t="s">
        <v>5</v>
      </c>
    </row>
    <row r="4">
      <c r="A4" s="3">
        <v>4.9000000000000004</v>
      </c>
      <c r="B4" s="3">
        <v>3</v>
      </c>
      <c r="C4" s="3">
        <v>1.3999999999999999</v>
      </c>
      <c r="D4" s="3">
        <v>0.20000000000000001</v>
      </c>
      <c r="E4" s="3" t="s">
        <v>5</v>
      </c>
    </row>
    <row r="5">
      <c r="A5" s="3">
        <v>4.7000000000000002</v>
      </c>
      <c r="B5" s="3">
        <v>3.2000000000000002</v>
      </c>
      <c r="C5" s="3">
        <v>1.3</v>
      </c>
      <c r="D5" s="3">
        <v>0.20000000000000001</v>
      </c>
      <c r="E5" s="3" t="s">
        <v>5</v>
      </c>
    </row>
    <row r="6">
      <c r="A6" s="3">
        <v>4.5999999999999996</v>
      </c>
      <c r="B6" s="3">
        <v>3.1000000000000001</v>
      </c>
      <c r="C6" s="3">
        <v>1.5</v>
      </c>
      <c r="D6" s="3">
        <v>0.20000000000000001</v>
      </c>
      <c r="E6" s="3" t="s">
        <v>5</v>
      </c>
    </row>
    <row r="7">
      <c r="A7" s="3">
        <v>5</v>
      </c>
      <c r="B7" s="3">
        <v>3.6000000000000001</v>
      </c>
      <c r="C7" s="3">
        <v>1.3999999999999999</v>
      </c>
      <c r="D7" s="3">
        <v>0.20000000000000001</v>
      </c>
      <c r="E7" s="3" t="s">
        <v>5</v>
      </c>
    </row>
    <row r="8">
      <c r="A8" s="3">
        <v>5.4000000000000004</v>
      </c>
      <c r="B8" s="3">
        <v>3.8999999999999999</v>
      </c>
      <c r="C8" s="3">
        <v>1.7</v>
      </c>
      <c r="D8" s="3">
        <v>0.40000000000000002</v>
      </c>
      <c r="E8" s="3" t="s">
        <v>5</v>
      </c>
    </row>
    <row r="9">
      <c r="A9" s="3">
        <v>4.5999999999999996</v>
      </c>
      <c r="B9" s="3">
        <v>3.3999999999999999</v>
      </c>
      <c r="C9" s="3">
        <v>1.3999999999999999</v>
      </c>
      <c r="D9" s="3">
        <v>0.29999999999999999</v>
      </c>
      <c r="E9" s="3" t="s">
        <v>5</v>
      </c>
    </row>
    <row r="10">
      <c r="A10" s="3">
        <v>5</v>
      </c>
      <c r="B10" s="3">
        <v>3.3999999999999999</v>
      </c>
      <c r="C10" s="3">
        <v>1.5</v>
      </c>
      <c r="D10" s="3">
        <v>0.20000000000000001</v>
      </c>
      <c r="E10" s="3" t="s">
        <v>5</v>
      </c>
    </row>
    <row r="11">
      <c r="A11" s="3">
        <v>4.4000000000000004</v>
      </c>
      <c r="B11" s="3">
        <v>2.8999999999999999</v>
      </c>
      <c r="C11" s="3">
        <v>1.3999999999999999</v>
      </c>
      <c r="D11" s="3">
        <v>0.20000000000000001</v>
      </c>
      <c r="E11" s="3" t="s">
        <v>5</v>
      </c>
    </row>
    <row r="12">
      <c r="A12" s="3">
        <v>4.9000000000000004</v>
      </c>
      <c r="B12" s="3">
        <v>3.1000000000000001</v>
      </c>
      <c r="C12" s="3">
        <v>1.5</v>
      </c>
      <c r="D12" s="3">
        <v>0.10000000000000001</v>
      </c>
      <c r="E12" s="3" t="s">
        <v>5</v>
      </c>
    </row>
    <row r="13">
      <c r="A13" s="3">
        <v>5.4000000000000004</v>
      </c>
      <c r="B13" s="3">
        <v>3.7000000000000002</v>
      </c>
      <c r="C13" s="3">
        <v>1.5</v>
      </c>
      <c r="D13" s="3">
        <v>0.20000000000000001</v>
      </c>
      <c r="E13" s="3" t="s">
        <v>5</v>
      </c>
    </row>
    <row r="14">
      <c r="A14" s="3">
        <v>4.7999999999999998</v>
      </c>
      <c r="B14" s="3">
        <v>3.3999999999999999</v>
      </c>
      <c r="C14" s="3">
        <v>1.6000000000000001</v>
      </c>
      <c r="D14" s="3">
        <v>0.20000000000000001</v>
      </c>
      <c r="E14" s="3" t="s">
        <v>5</v>
      </c>
    </row>
    <row r="15">
      <c r="A15" s="3">
        <v>4.7999999999999998</v>
      </c>
      <c r="B15" s="3">
        <v>3</v>
      </c>
      <c r="C15" s="3">
        <v>1.3999999999999999</v>
      </c>
      <c r="D15" s="3">
        <v>0.10000000000000001</v>
      </c>
      <c r="E15" s="3" t="s">
        <v>5</v>
      </c>
    </row>
    <row r="16">
      <c r="A16" s="3">
        <v>4.2999999999999998</v>
      </c>
      <c r="B16" s="3">
        <v>3</v>
      </c>
      <c r="C16" s="3">
        <v>1.1000000000000001</v>
      </c>
      <c r="D16" s="3">
        <v>0.10000000000000001</v>
      </c>
      <c r="E16" s="3" t="s">
        <v>5</v>
      </c>
    </row>
    <row r="17">
      <c r="A17" s="3">
        <v>5.7999999999999998</v>
      </c>
      <c r="B17" s="3">
        <v>4</v>
      </c>
      <c r="C17" s="3">
        <v>1.2</v>
      </c>
      <c r="D17" s="3">
        <v>0.20000000000000001</v>
      </c>
      <c r="E17" s="3" t="s">
        <v>5</v>
      </c>
    </row>
    <row r="18">
      <c r="A18" s="3">
        <v>5.7000000000000002</v>
      </c>
      <c r="B18" s="3">
        <v>4.4000000000000004</v>
      </c>
      <c r="C18" s="3">
        <v>1.5</v>
      </c>
      <c r="D18" s="3">
        <v>0.40000000000000002</v>
      </c>
      <c r="E18" s="3" t="s">
        <v>5</v>
      </c>
    </row>
    <row r="19">
      <c r="A19" s="3">
        <v>5.4000000000000004</v>
      </c>
      <c r="B19" s="3">
        <v>3.8999999999999999</v>
      </c>
      <c r="C19" s="3">
        <v>1.3</v>
      </c>
      <c r="D19" s="3">
        <v>0.40000000000000002</v>
      </c>
      <c r="E19" s="3" t="s">
        <v>5</v>
      </c>
    </row>
    <row r="20">
      <c r="A20" s="3">
        <v>5.0999999999999996</v>
      </c>
      <c r="B20" s="3">
        <v>3.5</v>
      </c>
      <c r="C20" s="3">
        <v>1.3999999999999999</v>
      </c>
      <c r="D20" s="3">
        <v>0.29999999999999999</v>
      </c>
      <c r="E20" s="3" t="s">
        <v>5</v>
      </c>
    </row>
    <row r="21">
      <c r="A21" s="3">
        <v>5.7000000000000002</v>
      </c>
      <c r="B21" s="3">
        <v>3.7999999999999998</v>
      </c>
      <c r="C21" s="3">
        <v>1.7</v>
      </c>
      <c r="D21" s="3">
        <v>0.29999999999999999</v>
      </c>
      <c r="E21" s="3" t="s">
        <v>5</v>
      </c>
    </row>
    <row r="22">
      <c r="A22" s="3">
        <v>5.0999999999999996</v>
      </c>
      <c r="B22" s="3">
        <v>3.7999999999999998</v>
      </c>
      <c r="C22" s="3">
        <v>1.5</v>
      </c>
      <c r="D22" s="3">
        <v>0.29999999999999999</v>
      </c>
      <c r="E22" s="3" t="s">
        <v>5</v>
      </c>
    </row>
    <row r="23">
      <c r="A23" s="3">
        <v>5.4000000000000004</v>
      </c>
      <c r="B23" s="3">
        <v>3.3999999999999999</v>
      </c>
      <c r="C23" s="3">
        <v>1.7</v>
      </c>
      <c r="D23" s="3">
        <v>0.20000000000000001</v>
      </c>
      <c r="E23" s="3" t="s">
        <v>5</v>
      </c>
    </row>
    <row r="24">
      <c r="A24" s="3">
        <v>5.0999999999999996</v>
      </c>
      <c r="B24" s="3">
        <v>3.7000000000000002</v>
      </c>
      <c r="C24" s="3">
        <v>1.5</v>
      </c>
      <c r="D24" s="3">
        <v>0.40000000000000002</v>
      </c>
      <c r="E24" s="3" t="s">
        <v>5</v>
      </c>
    </row>
    <row r="25">
      <c r="A25" s="3">
        <v>4.5999999999999996</v>
      </c>
      <c r="B25" s="3">
        <v>3.6000000000000001</v>
      </c>
      <c r="C25" s="3">
        <v>1</v>
      </c>
      <c r="D25" s="3">
        <v>0.20000000000000001</v>
      </c>
      <c r="E25" s="3" t="s">
        <v>5</v>
      </c>
    </row>
    <row r="26">
      <c r="A26" s="3">
        <v>5.0999999999999996</v>
      </c>
      <c r="B26" s="3">
        <v>3.2999999999999998</v>
      </c>
      <c r="C26" s="3">
        <v>1.7</v>
      </c>
      <c r="D26" s="3">
        <v>0.5</v>
      </c>
      <c r="E26" s="3" t="s">
        <v>5</v>
      </c>
    </row>
    <row r="27">
      <c r="A27" s="3">
        <v>4.7999999999999998</v>
      </c>
      <c r="B27" s="3">
        <v>3.3999999999999999</v>
      </c>
      <c r="C27" s="3">
        <v>1.8999999999999999</v>
      </c>
      <c r="D27" s="3">
        <v>0.20000000000000001</v>
      </c>
      <c r="E27" s="3" t="s">
        <v>5</v>
      </c>
    </row>
    <row r="28">
      <c r="A28" s="3">
        <v>5</v>
      </c>
      <c r="B28" s="3">
        <v>3</v>
      </c>
      <c r="C28" s="3">
        <v>1.6000000000000001</v>
      </c>
      <c r="D28" s="3">
        <v>0.20000000000000001</v>
      </c>
      <c r="E28" s="3" t="s">
        <v>5</v>
      </c>
    </row>
    <row r="29">
      <c r="A29" s="3">
        <v>5</v>
      </c>
      <c r="B29" s="3">
        <v>3.3999999999999999</v>
      </c>
      <c r="C29" s="3">
        <v>1.6000000000000001</v>
      </c>
      <c r="D29" s="3">
        <v>0.40000000000000002</v>
      </c>
      <c r="E29" s="3" t="s">
        <v>5</v>
      </c>
    </row>
    <row r="30">
      <c r="A30" s="3">
        <v>5.2000000000000002</v>
      </c>
      <c r="B30" s="3">
        <v>3.5</v>
      </c>
      <c r="C30" s="3">
        <v>1.5</v>
      </c>
      <c r="D30" s="3">
        <v>0.20000000000000001</v>
      </c>
      <c r="E30" s="3" t="s">
        <v>5</v>
      </c>
    </row>
    <row r="31">
      <c r="A31" s="3">
        <v>5.2000000000000002</v>
      </c>
      <c r="B31" s="3">
        <v>3.3999999999999999</v>
      </c>
      <c r="C31" s="3">
        <v>1.3999999999999999</v>
      </c>
      <c r="D31" s="3">
        <v>0.20000000000000001</v>
      </c>
      <c r="E31" s="3" t="s">
        <v>5</v>
      </c>
    </row>
    <row r="32">
      <c r="A32" s="3">
        <v>4.7000000000000002</v>
      </c>
      <c r="B32" s="3">
        <v>3.2000000000000002</v>
      </c>
      <c r="C32" s="3">
        <v>1.6000000000000001</v>
      </c>
      <c r="D32" s="3">
        <v>0.20000000000000001</v>
      </c>
      <c r="E32" s="3" t="s">
        <v>5</v>
      </c>
    </row>
    <row r="33">
      <c r="A33" s="3">
        <v>4.7999999999999998</v>
      </c>
      <c r="B33" s="3">
        <v>3.1000000000000001</v>
      </c>
      <c r="C33" s="3">
        <v>1.6000000000000001</v>
      </c>
      <c r="D33" s="3">
        <v>0.20000000000000001</v>
      </c>
      <c r="E33" s="3" t="s">
        <v>5</v>
      </c>
    </row>
    <row r="34">
      <c r="A34" s="3">
        <v>5.4000000000000004</v>
      </c>
      <c r="B34" s="3">
        <v>3.3999999999999999</v>
      </c>
      <c r="C34" s="3">
        <v>1.5</v>
      </c>
      <c r="D34" s="3">
        <v>0.40000000000000002</v>
      </c>
      <c r="E34" s="3" t="s">
        <v>5</v>
      </c>
    </row>
    <row r="35">
      <c r="A35" s="3">
        <v>5.2000000000000002</v>
      </c>
      <c r="B35" s="3">
        <v>4.0999999999999996</v>
      </c>
      <c r="C35" s="3">
        <v>1.5</v>
      </c>
      <c r="D35" s="3">
        <v>0.10000000000000001</v>
      </c>
      <c r="E35" s="3" t="s">
        <v>5</v>
      </c>
    </row>
    <row r="36">
      <c r="A36" s="3">
        <v>5.5</v>
      </c>
      <c r="B36" s="3">
        <v>4.2000000000000002</v>
      </c>
      <c r="C36" s="3">
        <v>1.3999999999999999</v>
      </c>
      <c r="D36" s="3">
        <v>0.20000000000000001</v>
      </c>
      <c r="E36" s="3" t="s">
        <v>5</v>
      </c>
    </row>
    <row r="37">
      <c r="A37" s="3">
        <v>4.9000000000000004</v>
      </c>
      <c r="B37" s="3">
        <v>3.1000000000000001</v>
      </c>
      <c r="C37" s="3">
        <v>1.5</v>
      </c>
      <c r="D37" s="3">
        <v>0.10000000000000001</v>
      </c>
      <c r="E37" s="3" t="s">
        <v>5</v>
      </c>
    </row>
    <row r="38">
      <c r="A38" s="3">
        <v>5</v>
      </c>
      <c r="B38" s="3">
        <v>3.2000000000000002</v>
      </c>
      <c r="C38" s="3">
        <v>1.2</v>
      </c>
      <c r="D38" s="3">
        <v>0.20000000000000001</v>
      </c>
      <c r="E38" s="3" t="s">
        <v>5</v>
      </c>
    </row>
    <row r="39">
      <c r="A39" s="3">
        <v>5.5</v>
      </c>
      <c r="B39" s="3">
        <v>3.5</v>
      </c>
      <c r="C39" s="3">
        <v>1.3</v>
      </c>
      <c r="D39" s="3">
        <v>0.20000000000000001</v>
      </c>
      <c r="E39" s="3" t="s">
        <v>5</v>
      </c>
    </row>
    <row r="40">
      <c r="A40" s="3">
        <v>4.9000000000000004</v>
      </c>
      <c r="B40" s="3">
        <v>3.1000000000000001</v>
      </c>
      <c r="C40" s="3">
        <v>1.5</v>
      </c>
      <c r="D40" s="3">
        <v>0.10000000000000001</v>
      </c>
      <c r="E40" s="3" t="s">
        <v>5</v>
      </c>
    </row>
    <row r="41">
      <c r="A41" s="3">
        <v>4.4000000000000004</v>
      </c>
      <c r="B41" s="3">
        <v>3</v>
      </c>
      <c r="C41" s="3">
        <v>1.3</v>
      </c>
      <c r="D41" s="3">
        <v>0.20000000000000001</v>
      </c>
      <c r="E41" s="3" t="s">
        <v>5</v>
      </c>
    </row>
    <row r="42">
      <c r="A42" s="3">
        <v>5.0999999999999996</v>
      </c>
      <c r="B42" s="3">
        <v>3.3999999999999999</v>
      </c>
      <c r="C42" s="3">
        <v>1.5</v>
      </c>
      <c r="D42" s="3">
        <v>0.20000000000000001</v>
      </c>
      <c r="E42" s="3" t="s">
        <v>5</v>
      </c>
    </row>
    <row r="43">
      <c r="A43" s="3">
        <v>5</v>
      </c>
      <c r="B43" s="3">
        <v>3.5</v>
      </c>
      <c r="C43" s="3">
        <v>1.3</v>
      </c>
      <c r="D43" s="3">
        <v>0.29999999999999999</v>
      </c>
      <c r="E43" s="3" t="s">
        <v>5</v>
      </c>
    </row>
    <row r="44">
      <c r="A44" s="3">
        <v>4.5</v>
      </c>
      <c r="B44" s="3">
        <v>2.2999999999999998</v>
      </c>
      <c r="C44" s="3">
        <v>1.3</v>
      </c>
      <c r="D44" s="3">
        <v>0.29999999999999999</v>
      </c>
      <c r="E44" s="3" t="s">
        <v>5</v>
      </c>
    </row>
    <row r="45">
      <c r="A45" s="3">
        <v>4.4000000000000004</v>
      </c>
      <c r="B45" s="3">
        <v>3.2000000000000002</v>
      </c>
      <c r="C45" s="3">
        <v>1.3</v>
      </c>
      <c r="D45" s="3">
        <v>0.20000000000000001</v>
      </c>
      <c r="E45" s="3" t="s">
        <v>5</v>
      </c>
    </row>
    <row r="46">
      <c r="A46" s="3">
        <v>5</v>
      </c>
      <c r="B46" s="3">
        <v>3.5</v>
      </c>
      <c r="C46" s="3">
        <v>1.6000000000000001</v>
      </c>
      <c r="D46" s="3">
        <v>0.59999999999999998</v>
      </c>
      <c r="E46" s="3" t="s">
        <v>5</v>
      </c>
    </row>
    <row r="47">
      <c r="A47" s="3">
        <v>5.0999999999999996</v>
      </c>
      <c r="B47" s="3">
        <v>3.7999999999999998</v>
      </c>
      <c r="C47" s="3">
        <v>1.8999999999999999</v>
      </c>
      <c r="D47" s="3">
        <v>0.40000000000000002</v>
      </c>
      <c r="E47" s="3" t="s">
        <v>5</v>
      </c>
    </row>
    <row r="48">
      <c r="A48" s="3">
        <v>4.7999999999999998</v>
      </c>
      <c r="B48" s="3">
        <v>3</v>
      </c>
      <c r="C48" s="3">
        <v>1.3999999999999999</v>
      </c>
      <c r="D48" s="3">
        <v>0.29999999999999999</v>
      </c>
      <c r="E48" s="3" t="s">
        <v>5</v>
      </c>
    </row>
    <row r="49">
      <c r="A49" s="3">
        <v>5.0999999999999996</v>
      </c>
      <c r="B49" s="3">
        <v>3.7999999999999998</v>
      </c>
      <c r="C49" s="3">
        <v>1.6000000000000001</v>
      </c>
      <c r="D49" s="3">
        <v>0.20000000000000001</v>
      </c>
      <c r="E49" s="3" t="s">
        <v>5</v>
      </c>
    </row>
    <row r="50">
      <c r="A50" s="3">
        <v>4.5999999999999996</v>
      </c>
      <c r="B50" s="3">
        <v>3.2000000000000002</v>
      </c>
      <c r="C50" s="3">
        <v>1.3999999999999999</v>
      </c>
      <c r="D50" s="3">
        <v>0.20000000000000001</v>
      </c>
      <c r="E50" s="3" t="s">
        <v>5</v>
      </c>
    </row>
    <row r="51">
      <c r="A51" s="3">
        <v>5.2999999999999998</v>
      </c>
      <c r="B51" s="3">
        <v>3.7000000000000002</v>
      </c>
      <c r="C51" s="3">
        <v>1.5</v>
      </c>
      <c r="D51" s="3">
        <v>0.20000000000000001</v>
      </c>
      <c r="E51" s="3" t="s">
        <v>5</v>
      </c>
    </row>
    <row r="52">
      <c r="A52" s="3">
        <v>5</v>
      </c>
      <c r="B52" s="3">
        <v>3.2999999999999998</v>
      </c>
      <c r="C52" s="3">
        <v>1.3999999999999999</v>
      </c>
      <c r="D52" s="3">
        <v>0.20000000000000001</v>
      </c>
      <c r="E52" s="3" t="s">
        <v>5</v>
      </c>
    </row>
    <row r="53">
      <c r="A53" s="3">
        <v>7</v>
      </c>
      <c r="B53" s="3">
        <v>3.2000000000000002</v>
      </c>
      <c r="C53" s="3">
        <v>4.7000000000000002</v>
      </c>
      <c r="D53" s="3">
        <v>1.3999999999999999</v>
      </c>
      <c r="E53" s="3" t="s">
        <v>6</v>
      </c>
    </row>
    <row r="54">
      <c r="A54" s="3">
        <v>6.4000000000000004</v>
      </c>
      <c r="B54" s="3">
        <v>3.2000000000000002</v>
      </c>
      <c r="C54" s="3">
        <v>4.5</v>
      </c>
      <c r="D54" s="3">
        <v>1.5</v>
      </c>
      <c r="E54" s="3" t="s">
        <v>6</v>
      </c>
    </row>
    <row r="55">
      <c r="A55" s="3">
        <v>6.9000000000000004</v>
      </c>
      <c r="B55" s="3">
        <v>3.1000000000000001</v>
      </c>
      <c r="C55" s="3">
        <v>4.9000000000000004</v>
      </c>
      <c r="D55" s="3">
        <v>1.5</v>
      </c>
      <c r="E55" s="3" t="s">
        <v>6</v>
      </c>
    </row>
    <row r="56">
      <c r="A56" s="3">
        <v>5.5</v>
      </c>
      <c r="B56" s="3">
        <v>2.2999999999999998</v>
      </c>
      <c r="C56" s="3">
        <v>4</v>
      </c>
      <c r="D56" s="3">
        <v>1.3</v>
      </c>
      <c r="E56" s="3" t="s">
        <v>6</v>
      </c>
    </row>
    <row r="57">
      <c r="A57" s="3">
        <v>6.5</v>
      </c>
      <c r="B57" s="3">
        <v>2.7999999999999998</v>
      </c>
      <c r="C57" s="3">
        <v>4.5999999999999996</v>
      </c>
      <c r="D57" s="3">
        <v>1.5</v>
      </c>
      <c r="E57" s="3" t="s">
        <v>6</v>
      </c>
    </row>
    <row r="58">
      <c r="A58" s="3">
        <v>5.7000000000000002</v>
      </c>
      <c r="B58" s="3">
        <v>2.7999999999999998</v>
      </c>
      <c r="C58" s="3">
        <v>4.5</v>
      </c>
      <c r="D58" s="3">
        <v>1.3</v>
      </c>
      <c r="E58" s="3" t="s">
        <v>6</v>
      </c>
    </row>
    <row r="59">
      <c r="A59" s="3">
        <v>6.2999999999999998</v>
      </c>
      <c r="B59" s="3">
        <v>3.2999999999999998</v>
      </c>
      <c r="C59" s="3">
        <v>4.7000000000000002</v>
      </c>
      <c r="D59" s="3">
        <v>1.6000000000000001</v>
      </c>
      <c r="E59" s="3" t="s">
        <v>6</v>
      </c>
    </row>
    <row r="60">
      <c r="A60" s="3">
        <v>4.9000000000000004</v>
      </c>
      <c r="B60" s="3">
        <v>2.3999999999999999</v>
      </c>
      <c r="C60" s="3">
        <v>3.2999999999999998</v>
      </c>
      <c r="D60" s="3">
        <v>1</v>
      </c>
      <c r="E60" s="3" t="s">
        <v>6</v>
      </c>
    </row>
    <row r="61">
      <c r="A61" s="3">
        <v>6.5999999999999996</v>
      </c>
      <c r="B61" s="3">
        <v>2.8999999999999999</v>
      </c>
      <c r="C61" s="3">
        <v>4.5999999999999996</v>
      </c>
      <c r="D61" s="3">
        <v>1.3</v>
      </c>
      <c r="E61" s="3" t="s">
        <v>6</v>
      </c>
    </row>
    <row r="62">
      <c r="A62" s="3">
        <v>5.2000000000000002</v>
      </c>
      <c r="B62" s="3">
        <v>2.7000000000000002</v>
      </c>
      <c r="C62" s="3">
        <v>3.8999999999999999</v>
      </c>
      <c r="D62" s="3">
        <v>1.3999999999999999</v>
      </c>
      <c r="E62" s="3" t="s">
        <v>6</v>
      </c>
    </row>
    <row r="63">
      <c r="A63" s="3">
        <v>5</v>
      </c>
      <c r="B63" s="3">
        <v>2</v>
      </c>
      <c r="C63" s="3">
        <v>3.5</v>
      </c>
      <c r="D63" s="3">
        <v>1</v>
      </c>
      <c r="E63" s="3" t="s">
        <v>6</v>
      </c>
    </row>
    <row r="64">
      <c r="A64" s="3">
        <v>5.9000000000000004</v>
      </c>
      <c r="B64" s="3">
        <v>3</v>
      </c>
      <c r="C64" s="3">
        <v>4.2000000000000002</v>
      </c>
      <c r="D64" s="3">
        <v>1.5</v>
      </c>
      <c r="E64" s="3" t="s">
        <v>6</v>
      </c>
    </row>
    <row r="65">
      <c r="A65" s="3">
        <v>6</v>
      </c>
      <c r="B65" s="3">
        <v>2.2000000000000002</v>
      </c>
      <c r="C65" s="3">
        <v>4</v>
      </c>
      <c r="D65" s="3">
        <v>1</v>
      </c>
      <c r="E65" s="3" t="s">
        <v>6</v>
      </c>
    </row>
    <row r="66">
      <c r="A66" s="3">
        <v>6.0999999999999996</v>
      </c>
      <c r="B66" s="3">
        <v>2.8999999999999999</v>
      </c>
      <c r="C66" s="3">
        <v>4.7000000000000002</v>
      </c>
      <c r="D66" s="3">
        <v>1.3999999999999999</v>
      </c>
      <c r="E66" s="3" t="s">
        <v>6</v>
      </c>
    </row>
    <row r="67">
      <c r="A67" s="3">
        <v>5.5999999999999996</v>
      </c>
      <c r="B67" s="3">
        <v>2.8999999999999999</v>
      </c>
      <c r="C67" s="3">
        <v>3.6000000000000001</v>
      </c>
      <c r="D67" s="3">
        <v>1.3</v>
      </c>
      <c r="E67" s="3" t="s">
        <v>6</v>
      </c>
    </row>
    <row r="68">
      <c r="A68" s="3">
        <v>6.7000000000000002</v>
      </c>
      <c r="B68" s="3">
        <v>3.1000000000000001</v>
      </c>
      <c r="C68" s="3">
        <v>4.4000000000000004</v>
      </c>
      <c r="D68" s="3">
        <v>1.3999999999999999</v>
      </c>
      <c r="E68" s="3" t="s">
        <v>6</v>
      </c>
    </row>
    <row r="69">
      <c r="A69" s="3">
        <v>5.5999999999999996</v>
      </c>
      <c r="B69" s="3">
        <v>3</v>
      </c>
      <c r="C69" s="3">
        <v>4.5</v>
      </c>
      <c r="D69" s="3">
        <v>1.5</v>
      </c>
      <c r="E69" s="3" t="s">
        <v>6</v>
      </c>
    </row>
    <row r="70">
      <c r="A70" s="3">
        <v>5.7999999999999998</v>
      </c>
      <c r="B70" s="3">
        <v>2.7000000000000002</v>
      </c>
      <c r="C70" s="3">
        <v>4.0999999999999996</v>
      </c>
      <c r="D70" s="3">
        <v>1</v>
      </c>
      <c r="E70" s="3" t="s">
        <v>6</v>
      </c>
    </row>
    <row r="71">
      <c r="A71" s="3">
        <v>6.2000000000000002</v>
      </c>
      <c r="B71" s="3">
        <v>2.2000000000000002</v>
      </c>
      <c r="C71" s="3">
        <v>4.5</v>
      </c>
      <c r="D71" s="3">
        <v>1.5</v>
      </c>
      <c r="E71" s="3" t="s">
        <v>6</v>
      </c>
    </row>
    <row r="72">
      <c r="A72" s="3">
        <v>5.5999999999999996</v>
      </c>
      <c r="B72" s="3">
        <v>2.5</v>
      </c>
      <c r="C72" s="3">
        <v>3.8999999999999999</v>
      </c>
      <c r="D72" s="3">
        <v>1.1000000000000001</v>
      </c>
      <c r="E72" s="3" t="s">
        <v>6</v>
      </c>
    </row>
    <row r="73">
      <c r="A73" s="3">
        <v>5.9000000000000004</v>
      </c>
      <c r="B73" s="3">
        <v>3.2000000000000002</v>
      </c>
      <c r="C73" s="3">
        <v>4.7999999999999998</v>
      </c>
      <c r="D73" s="3">
        <v>1.8</v>
      </c>
      <c r="E73" s="3" t="s">
        <v>6</v>
      </c>
    </row>
    <row r="74">
      <c r="A74" s="3">
        <v>6.0999999999999996</v>
      </c>
      <c r="B74" s="3">
        <v>2.7999999999999998</v>
      </c>
      <c r="C74" s="3">
        <v>4</v>
      </c>
      <c r="D74" s="3">
        <v>1.3</v>
      </c>
      <c r="E74" s="3" t="s">
        <v>6</v>
      </c>
    </row>
    <row r="75">
      <c r="A75" s="3">
        <v>6.2999999999999998</v>
      </c>
      <c r="B75" s="3">
        <v>2.5</v>
      </c>
      <c r="C75" s="3">
        <v>4.9000000000000004</v>
      </c>
      <c r="D75" s="3">
        <v>1.5</v>
      </c>
      <c r="E75" s="3" t="s">
        <v>6</v>
      </c>
    </row>
    <row r="76">
      <c r="A76" s="3">
        <v>6.0999999999999996</v>
      </c>
      <c r="B76" s="3">
        <v>2.7999999999999998</v>
      </c>
      <c r="C76" s="3">
        <v>4.7000000000000002</v>
      </c>
      <c r="D76" s="3">
        <v>1.2</v>
      </c>
      <c r="E76" s="3" t="s">
        <v>6</v>
      </c>
    </row>
    <row r="77">
      <c r="A77" s="3">
        <v>6.4000000000000004</v>
      </c>
      <c r="B77" s="3">
        <v>2.8999999999999999</v>
      </c>
      <c r="C77" s="3">
        <v>4.2999999999999998</v>
      </c>
      <c r="D77" s="3">
        <v>1.3</v>
      </c>
      <c r="E77" s="3" t="s">
        <v>6</v>
      </c>
    </row>
    <row r="78">
      <c r="A78" s="3">
        <v>6.5999999999999996</v>
      </c>
      <c r="B78" s="3">
        <v>3</v>
      </c>
      <c r="C78" s="3">
        <v>4.4000000000000004</v>
      </c>
      <c r="D78" s="3">
        <v>1.3999999999999999</v>
      </c>
      <c r="E78" s="3" t="s">
        <v>6</v>
      </c>
    </row>
    <row r="79">
      <c r="A79" s="3">
        <v>6.7999999999999998</v>
      </c>
      <c r="B79" s="3">
        <v>2.7999999999999998</v>
      </c>
      <c r="C79" s="3">
        <v>4.7999999999999998</v>
      </c>
      <c r="D79" s="3">
        <v>1.3999999999999999</v>
      </c>
      <c r="E79" s="3" t="s">
        <v>6</v>
      </c>
    </row>
    <row r="80">
      <c r="A80" s="3">
        <v>6.7000000000000002</v>
      </c>
      <c r="B80" s="3">
        <v>3</v>
      </c>
      <c r="C80" s="3">
        <v>5</v>
      </c>
      <c r="D80" s="3">
        <v>1.7</v>
      </c>
      <c r="E80" s="3" t="s">
        <v>6</v>
      </c>
    </row>
    <row r="81">
      <c r="A81" s="3">
        <v>6</v>
      </c>
      <c r="B81" s="3">
        <v>2.8999999999999999</v>
      </c>
      <c r="C81" s="3">
        <v>4.5</v>
      </c>
      <c r="D81" s="3">
        <v>1.5</v>
      </c>
      <c r="E81" s="3" t="s">
        <v>6</v>
      </c>
    </row>
    <row r="82">
      <c r="A82" s="3">
        <v>5.7000000000000002</v>
      </c>
      <c r="B82" s="3">
        <v>2.6000000000000001</v>
      </c>
      <c r="C82" s="3">
        <v>3.5</v>
      </c>
      <c r="D82" s="3">
        <v>1</v>
      </c>
      <c r="E82" s="3" t="s">
        <v>6</v>
      </c>
    </row>
    <row r="83">
      <c r="A83" s="3">
        <v>5.5</v>
      </c>
      <c r="B83" s="3">
        <v>2.3999999999999999</v>
      </c>
      <c r="C83" s="3">
        <v>3.7999999999999998</v>
      </c>
      <c r="D83" s="3">
        <v>1.1000000000000001</v>
      </c>
      <c r="E83" s="3" t="s">
        <v>6</v>
      </c>
    </row>
    <row r="84">
      <c r="A84" s="3">
        <v>5.5</v>
      </c>
      <c r="B84" s="3">
        <v>2.3999999999999999</v>
      </c>
      <c r="C84" s="3">
        <v>3.7000000000000002</v>
      </c>
      <c r="D84" s="3">
        <v>1</v>
      </c>
      <c r="E84" s="3" t="s">
        <v>6</v>
      </c>
    </row>
    <row r="85">
      <c r="A85" s="3">
        <v>5.7999999999999998</v>
      </c>
      <c r="B85" s="3">
        <v>2.7000000000000002</v>
      </c>
      <c r="C85" s="3">
        <v>3.8999999999999999</v>
      </c>
      <c r="D85" s="3">
        <v>1.2</v>
      </c>
      <c r="E85" s="3" t="s">
        <v>6</v>
      </c>
    </row>
    <row r="86">
      <c r="A86" s="3">
        <v>6</v>
      </c>
      <c r="B86" s="3">
        <v>2.7000000000000002</v>
      </c>
      <c r="C86" s="3">
        <v>5.0999999999999996</v>
      </c>
      <c r="D86" s="3">
        <v>1.6000000000000001</v>
      </c>
      <c r="E86" s="3" t="s">
        <v>6</v>
      </c>
    </row>
    <row r="87">
      <c r="A87" s="3">
        <v>5.4000000000000004</v>
      </c>
      <c r="B87" s="3">
        <v>3</v>
      </c>
      <c r="C87" s="3">
        <v>4.5</v>
      </c>
      <c r="D87" s="3">
        <v>1.5</v>
      </c>
      <c r="E87" s="3" t="s">
        <v>6</v>
      </c>
    </row>
    <row r="88">
      <c r="A88" s="3">
        <v>6</v>
      </c>
      <c r="B88" s="3">
        <v>3.3999999999999999</v>
      </c>
      <c r="C88" s="3">
        <v>4.5</v>
      </c>
      <c r="D88" s="3">
        <v>1.6000000000000001</v>
      </c>
      <c r="E88" s="3" t="s">
        <v>6</v>
      </c>
    </row>
    <row r="89">
      <c r="A89" s="3">
        <v>6.7000000000000002</v>
      </c>
      <c r="B89" s="3">
        <v>3.1000000000000001</v>
      </c>
      <c r="C89" s="3">
        <v>4.7000000000000002</v>
      </c>
      <c r="D89" s="3">
        <v>1.5</v>
      </c>
      <c r="E89" s="3" t="s">
        <v>6</v>
      </c>
    </row>
    <row r="90">
      <c r="A90" s="3">
        <v>6.2999999999999998</v>
      </c>
      <c r="B90" s="3">
        <v>2.2999999999999998</v>
      </c>
      <c r="C90" s="3">
        <v>4.4000000000000004</v>
      </c>
      <c r="D90" s="3">
        <v>1.3</v>
      </c>
      <c r="E90" s="3" t="s">
        <v>6</v>
      </c>
    </row>
    <row r="91">
      <c r="A91" s="3">
        <v>5.5999999999999996</v>
      </c>
      <c r="B91" s="3">
        <v>3</v>
      </c>
      <c r="C91" s="3">
        <v>4.0999999999999996</v>
      </c>
      <c r="D91" s="3">
        <v>1.3</v>
      </c>
      <c r="E91" s="3" t="s">
        <v>6</v>
      </c>
    </row>
    <row r="92">
      <c r="A92" s="3">
        <v>5.5</v>
      </c>
      <c r="B92" s="3">
        <v>2.5</v>
      </c>
      <c r="C92" s="3">
        <v>4</v>
      </c>
      <c r="D92" s="3">
        <v>1.3</v>
      </c>
      <c r="E92" s="3" t="s">
        <v>6</v>
      </c>
    </row>
    <row r="93">
      <c r="A93" s="3">
        <v>5.5</v>
      </c>
      <c r="B93" s="3">
        <v>2.6000000000000001</v>
      </c>
      <c r="C93" s="3">
        <v>4.4000000000000004</v>
      </c>
      <c r="D93" s="3">
        <v>1.2</v>
      </c>
      <c r="E93" s="3" t="s">
        <v>6</v>
      </c>
    </row>
    <row r="94">
      <c r="A94" s="3">
        <v>6.0999999999999996</v>
      </c>
      <c r="B94" s="3">
        <v>3</v>
      </c>
      <c r="C94" s="3">
        <v>4.5999999999999996</v>
      </c>
      <c r="D94" s="3">
        <v>1.3999999999999999</v>
      </c>
      <c r="E94" s="3" t="s">
        <v>6</v>
      </c>
    </row>
    <row r="95">
      <c r="A95" s="3">
        <v>5.7999999999999998</v>
      </c>
      <c r="B95" s="3">
        <v>2.6000000000000001</v>
      </c>
      <c r="C95" s="3">
        <v>4</v>
      </c>
      <c r="D95" s="3">
        <v>1.2</v>
      </c>
      <c r="E95" s="3" t="s">
        <v>6</v>
      </c>
    </row>
    <row r="96">
      <c r="A96" s="3">
        <v>5</v>
      </c>
      <c r="B96" s="3">
        <v>2.2999999999999998</v>
      </c>
      <c r="C96" s="3">
        <v>3.2999999999999998</v>
      </c>
      <c r="D96" s="3">
        <v>1</v>
      </c>
      <c r="E96" s="3" t="s">
        <v>6</v>
      </c>
    </row>
    <row r="97">
      <c r="A97" s="3">
        <v>5.5999999999999996</v>
      </c>
      <c r="B97" s="3">
        <v>2.7000000000000002</v>
      </c>
      <c r="C97" s="3">
        <v>4.2000000000000002</v>
      </c>
      <c r="D97" s="3">
        <v>1.3</v>
      </c>
      <c r="E97" s="3" t="s">
        <v>6</v>
      </c>
    </row>
    <row r="98">
      <c r="A98" s="3">
        <v>5.7000000000000002</v>
      </c>
      <c r="B98" s="3">
        <v>3</v>
      </c>
      <c r="C98" s="3">
        <v>4.2000000000000002</v>
      </c>
      <c r="D98" s="3">
        <v>1.2</v>
      </c>
      <c r="E98" s="3" t="s">
        <v>6</v>
      </c>
    </row>
    <row r="99">
      <c r="A99" s="3">
        <v>5.7000000000000002</v>
      </c>
      <c r="B99" s="3">
        <v>2.8999999999999999</v>
      </c>
      <c r="C99" s="3">
        <v>4.2000000000000002</v>
      </c>
      <c r="D99" s="3">
        <v>1.3</v>
      </c>
      <c r="E99" s="3" t="s">
        <v>6</v>
      </c>
    </row>
    <row r="100">
      <c r="A100" s="3">
        <v>6.2000000000000002</v>
      </c>
      <c r="B100" s="3">
        <v>2.8999999999999999</v>
      </c>
      <c r="C100" s="3">
        <v>4.2999999999999998</v>
      </c>
      <c r="D100" s="3">
        <v>1.3</v>
      </c>
      <c r="E100" s="3" t="s">
        <v>6</v>
      </c>
    </row>
    <row r="101">
      <c r="A101" s="3">
        <v>5.0999999999999996</v>
      </c>
      <c r="B101" s="3">
        <v>2.5</v>
      </c>
      <c r="C101" s="3">
        <v>3</v>
      </c>
      <c r="D101" s="3">
        <v>1.1000000000000001</v>
      </c>
      <c r="E101" s="3" t="s">
        <v>6</v>
      </c>
    </row>
    <row r="102">
      <c r="A102" s="3">
        <v>5.7000000000000002</v>
      </c>
      <c r="B102" s="3">
        <v>2.7999999999999998</v>
      </c>
      <c r="C102" s="3">
        <v>4.0999999999999996</v>
      </c>
      <c r="D102" s="3">
        <v>1.3</v>
      </c>
      <c r="E102" s="3" t="s">
        <v>6</v>
      </c>
    </row>
    <row r="103">
      <c r="A103" s="3">
        <v>6.2999999999999998</v>
      </c>
      <c r="B103" s="3">
        <v>3.2999999999999998</v>
      </c>
      <c r="C103" s="3">
        <v>6</v>
      </c>
      <c r="D103" s="3">
        <v>2.5</v>
      </c>
      <c r="E103" s="3" t="s">
        <v>7</v>
      </c>
    </row>
    <row r="104">
      <c r="A104" s="3">
        <v>5.7999999999999998</v>
      </c>
      <c r="B104" s="3">
        <v>2.7000000000000002</v>
      </c>
      <c r="C104" s="3">
        <v>5.0999999999999996</v>
      </c>
      <c r="D104" s="3">
        <v>1.8999999999999999</v>
      </c>
      <c r="E104" s="3" t="s">
        <v>7</v>
      </c>
    </row>
    <row r="105">
      <c r="A105" s="3">
        <v>7.0999999999999996</v>
      </c>
      <c r="B105" s="3">
        <v>3</v>
      </c>
      <c r="C105" s="3">
        <v>5.9000000000000004</v>
      </c>
      <c r="D105" s="3">
        <v>2.1000000000000001</v>
      </c>
      <c r="E105" s="3" t="s">
        <v>7</v>
      </c>
    </row>
    <row r="106">
      <c r="A106" s="3">
        <v>6.2999999999999998</v>
      </c>
      <c r="B106" s="3">
        <v>2.8999999999999999</v>
      </c>
      <c r="C106" s="3">
        <v>5.5999999999999996</v>
      </c>
      <c r="D106" s="3">
        <v>1.8</v>
      </c>
      <c r="E106" s="3" t="s">
        <v>7</v>
      </c>
    </row>
    <row r="107">
      <c r="A107" s="3">
        <v>6.5</v>
      </c>
      <c r="B107" s="3">
        <v>3</v>
      </c>
      <c r="C107" s="3">
        <v>5.7999999999999998</v>
      </c>
      <c r="D107" s="3">
        <v>2.2000000000000002</v>
      </c>
      <c r="E107" s="3" t="s">
        <v>7</v>
      </c>
    </row>
    <row r="108">
      <c r="A108" s="3">
        <v>7.5999999999999996</v>
      </c>
      <c r="B108" s="3">
        <v>3</v>
      </c>
      <c r="C108" s="3">
        <v>6.5999999999999996</v>
      </c>
      <c r="D108" s="3">
        <v>2.1000000000000001</v>
      </c>
      <c r="E108" s="3" t="s">
        <v>7</v>
      </c>
    </row>
    <row r="109">
      <c r="A109" s="3">
        <v>4.9000000000000004</v>
      </c>
      <c r="B109" s="3">
        <v>2.5</v>
      </c>
      <c r="C109" s="3">
        <v>4.5</v>
      </c>
      <c r="D109" s="3">
        <v>1.7</v>
      </c>
      <c r="E109" s="3" t="s">
        <v>7</v>
      </c>
    </row>
    <row r="110">
      <c r="A110" s="3">
        <v>7.2999999999999998</v>
      </c>
      <c r="B110" s="3">
        <v>2.8999999999999999</v>
      </c>
      <c r="C110" s="3">
        <v>6.2999999999999998</v>
      </c>
      <c r="D110" s="3">
        <v>1.8</v>
      </c>
      <c r="E110" s="3" t="s">
        <v>7</v>
      </c>
    </row>
    <row r="111">
      <c r="A111" s="3">
        <v>6.7000000000000002</v>
      </c>
      <c r="B111" s="3">
        <v>2.5</v>
      </c>
      <c r="C111" s="3">
        <v>5.7999999999999998</v>
      </c>
      <c r="D111" s="3">
        <v>1.8</v>
      </c>
      <c r="E111" s="3" t="s">
        <v>7</v>
      </c>
    </row>
    <row r="112">
      <c r="A112" s="3">
        <v>7.2000000000000002</v>
      </c>
      <c r="B112" s="3">
        <v>3.6000000000000001</v>
      </c>
      <c r="C112" s="3">
        <v>6.0999999999999996</v>
      </c>
      <c r="D112" s="3">
        <v>2.5</v>
      </c>
      <c r="E112" s="3" t="s">
        <v>7</v>
      </c>
    </row>
    <row r="113">
      <c r="A113" s="3">
        <v>6.5</v>
      </c>
      <c r="B113" s="3">
        <v>3.2000000000000002</v>
      </c>
      <c r="C113" s="3">
        <v>5.0999999999999996</v>
      </c>
      <c r="D113" s="3">
        <v>2</v>
      </c>
      <c r="E113" s="3" t="s">
        <v>7</v>
      </c>
    </row>
    <row r="114">
      <c r="A114" s="3">
        <v>6.4000000000000004</v>
      </c>
      <c r="B114" s="3">
        <v>2.7000000000000002</v>
      </c>
      <c r="C114" s="3">
        <v>5.2999999999999998</v>
      </c>
      <c r="D114" s="3">
        <v>1.8999999999999999</v>
      </c>
      <c r="E114" s="3" t="s">
        <v>7</v>
      </c>
    </row>
    <row r="115">
      <c r="A115" s="3">
        <v>6.7999999999999998</v>
      </c>
      <c r="B115" s="3">
        <v>3</v>
      </c>
      <c r="C115" s="3">
        <v>5.5</v>
      </c>
      <c r="D115" s="3">
        <v>2.1000000000000001</v>
      </c>
      <c r="E115" s="3" t="s">
        <v>7</v>
      </c>
    </row>
    <row r="116">
      <c r="A116" s="3">
        <v>5.7000000000000002</v>
      </c>
      <c r="B116" s="3">
        <v>2.5</v>
      </c>
      <c r="C116" s="3">
        <v>5</v>
      </c>
      <c r="D116" s="3">
        <v>2</v>
      </c>
      <c r="E116" s="3" t="s">
        <v>7</v>
      </c>
    </row>
    <row r="117">
      <c r="A117" s="3">
        <v>5.7999999999999998</v>
      </c>
      <c r="B117" s="3">
        <v>2.7999999999999998</v>
      </c>
      <c r="C117" s="3">
        <v>5.0999999999999996</v>
      </c>
      <c r="D117" s="3">
        <v>2.3999999999999999</v>
      </c>
      <c r="E117" s="3" t="s">
        <v>7</v>
      </c>
    </row>
    <row r="118">
      <c r="A118" s="3">
        <v>6.4000000000000004</v>
      </c>
      <c r="B118" s="3">
        <v>3.2000000000000002</v>
      </c>
      <c r="C118" s="3">
        <v>5.2999999999999998</v>
      </c>
      <c r="D118" s="3">
        <v>2.2999999999999998</v>
      </c>
      <c r="E118" s="3" t="s">
        <v>7</v>
      </c>
    </row>
    <row r="119">
      <c r="A119" s="3">
        <v>6.5</v>
      </c>
      <c r="B119" s="3">
        <v>3</v>
      </c>
      <c r="C119" s="3">
        <v>5.5</v>
      </c>
      <c r="D119" s="3">
        <v>1.8</v>
      </c>
      <c r="E119" s="3" t="s">
        <v>7</v>
      </c>
    </row>
    <row r="120">
      <c r="A120" s="3">
        <v>7.7000000000000002</v>
      </c>
      <c r="B120" s="3">
        <v>3.7999999999999998</v>
      </c>
      <c r="C120" s="3">
        <v>6.7000000000000002</v>
      </c>
      <c r="D120" s="3">
        <v>2.2000000000000002</v>
      </c>
      <c r="E120" s="3" t="s">
        <v>7</v>
      </c>
    </row>
    <row r="121">
      <c r="A121" s="3">
        <v>7.7000000000000002</v>
      </c>
      <c r="B121" s="3">
        <v>2.6000000000000001</v>
      </c>
      <c r="C121" s="3">
        <v>6.9000000000000004</v>
      </c>
      <c r="D121" s="3">
        <v>2.2999999999999998</v>
      </c>
      <c r="E121" s="3" t="s">
        <v>7</v>
      </c>
    </row>
    <row r="122">
      <c r="A122" s="3">
        <v>6</v>
      </c>
      <c r="B122" s="3">
        <v>2.2000000000000002</v>
      </c>
      <c r="C122" s="3">
        <v>5</v>
      </c>
      <c r="D122" s="3">
        <v>1.5</v>
      </c>
      <c r="E122" s="3" t="s">
        <v>7</v>
      </c>
    </row>
    <row r="123">
      <c r="A123" s="3">
        <v>6.9000000000000004</v>
      </c>
      <c r="B123" s="3">
        <v>3.2000000000000002</v>
      </c>
      <c r="C123" s="3">
        <v>5.7000000000000002</v>
      </c>
      <c r="D123" s="3">
        <v>2.2999999999999998</v>
      </c>
      <c r="E123" s="3" t="s">
        <v>7</v>
      </c>
    </row>
    <row r="124">
      <c r="A124" s="3">
        <v>5.5999999999999996</v>
      </c>
      <c r="B124" s="3">
        <v>2.7999999999999998</v>
      </c>
      <c r="C124" s="3">
        <v>4.9000000000000004</v>
      </c>
      <c r="D124" s="3">
        <v>2</v>
      </c>
      <c r="E124" s="3" t="s">
        <v>7</v>
      </c>
    </row>
    <row r="125">
      <c r="A125" s="3">
        <v>7.7000000000000002</v>
      </c>
      <c r="B125" s="3">
        <v>2.7999999999999998</v>
      </c>
      <c r="C125" s="3">
        <v>6.7000000000000002</v>
      </c>
      <c r="D125" s="3">
        <v>2</v>
      </c>
      <c r="E125" s="3" t="s">
        <v>7</v>
      </c>
    </row>
    <row r="126">
      <c r="A126" s="3">
        <v>6.2999999999999998</v>
      </c>
      <c r="B126" s="3">
        <v>2.7000000000000002</v>
      </c>
      <c r="C126" s="3">
        <v>4.9000000000000004</v>
      </c>
      <c r="D126" s="3">
        <v>1.8</v>
      </c>
      <c r="E126" s="3" t="s">
        <v>7</v>
      </c>
    </row>
    <row r="127">
      <c r="A127" s="3">
        <v>6.7000000000000002</v>
      </c>
      <c r="B127" s="3">
        <v>3.2999999999999998</v>
      </c>
      <c r="C127" s="3">
        <v>5.7000000000000002</v>
      </c>
      <c r="D127" s="3">
        <v>2.1000000000000001</v>
      </c>
      <c r="E127" s="3" t="s">
        <v>7</v>
      </c>
    </row>
    <row r="128">
      <c r="A128" s="3">
        <v>7.2000000000000002</v>
      </c>
      <c r="B128" s="3">
        <v>3.2000000000000002</v>
      </c>
      <c r="C128" s="3">
        <v>6</v>
      </c>
      <c r="D128" s="3">
        <v>1.8</v>
      </c>
      <c r="E128" s="3" t="s">
        <v>7</v>
      </c>
    </row>
    <row r="129">
      <c r="A129" s="3">
        <v>6.2000000000000002</v>
      </c>
      <c r="B129" s="3">
        <v>2.7999999999999998</v>
      </c>
      <c r="C129" s="3">
        <v>4.7999999999999998</v>
      </c>
      <c r="D129" s="3">
        <v>1.8</v>
      </c>
      <c r="E129" s="3" t="s">
        <v>7</v>
      </c>
    </row>
    <row r="130">
      <c r="A130" s="3">
        <v>6.0999999999999996</v>
      </c>
      <c r="B130" s="3">
        <v>3</v>
      </c>
      <c r="C130" s="3">
        <v>4.9000000000000004</v>
      </c>
      <c r="D130" s="3">
        <v>1.8</v>
      </c>
      <c r="E130" s="3" t="s">
        <v>7</v>
      </c>
    </row>
    <row r="131">
      <c r="A131" s="3">
        <v>6.4000000000000004</v>
      </c>
      <c r="B131" s="3">
        <v>2.7999999999999998</v>
      </c>
      <c r="C131" s="3">
        <v>5.5999999999999996</v>
      </c>
      <c r="D131" s="3">
        <v>2.1000000000000001</v>
      </c>
      <c r="E131" s="3" t="s">
        <v>7</v>
      </c>
    </row>
    <row r="132">
      <c r="A132" s="3">
        <v>7.2000000000000002</v>
      </c>
      <c r="B132" s="3">
        <v>3</v>
      </c>
      <c r="C132" s="3">
        <v>5.7999999999999998</v>
      </c>
      <c r="D132" s="3">
        <v>1.6000000000000001</v>
      </c>
      <c r="E132" s="3" t="s">
        <v>7</v>
      </c>
    </row>
    <row r="133">
      <c r="A133" s="3">
        <v>7.4000000000000004</v>
      </c>
      <c r="B133" s="3">
        <v>2.7999999999999998</v>
      </c>
      <c r="C133" s="3">
        <v>6.0999999999999996</v>
      </c>
      <c r="D133" s="3">
        <v>1.8999999999999999</v>
      </c>
      <c r="E133" s="3" t="s">
        <v>7</v>
      </c>
    </row>
    <row r="134">
      <c r="A134" s="3">
        <v>7.9000000000000004</v>
      </c>
      <c r="B134" s="3">
        <v>3.7999999999999998</v>
      </c>
      <c r="C134" s="3">
        <v>6.4000000000000004</v>
      </c>
      <c r="D134" s="3">
        <v>2</v>
      </c>
      <c r="E134" s="3" t="s">
        <v>7</v>
      </c>
    </row>
    <row r="135">
      <c r="A135" s="3">
        <v>6.4000000000000004</v>
      </c>
      <c r="B135" s="3">
        <v>2.7999999999999998</v>
      </c>
      <c r="C135" s="3">
        <v>5.5999999999999996</v>
      </c>
      <c r="D135" s="3">
        <v>2.2000000000000002</v>
      </c>
      <c r="E135" s="3" t="s">
        <v>7</v>
      </c>
    </row>
    <row r="136">
      <c r="A136" s="3">
        <v>6.2999999999999998</v>
      </c>
      <c r="B136" s="3">
        <v>2.7999999999999998</v>
      </c>
      <c r="C136" s="3">
        <v>5.0999999999999996</v>
      </c>
      <c r="D136" s="3">
        <v>1.5</v>
      </c>
      <c r="E136" s="3" t="s">
        <v>7</v>
      </c>
    </row>
    <row r="137">
      <c r="A137" s="3">
        <v>6.0999999999999996</v>
      </c>
      <c r="B137" s="3">
        <v>2.6000000000000001</v>
      </c>
      <c r="C137" s="3">
        <v>5.5999999999999996</v>
      </c>
      <c r="D137" s="3">
        <v>1.3999999999999999</v>
      </c>
      <c r="E137" s="3" t="s">
        <v>7</v>
      </c>
    </row>
    <row r="138">
      <c r="A138" s="3">
        <v>7.7000000000000002</v>
      </c>
      <c r="B138" s="3">
        <v>3</v>
      </c>
      <c r="C138" s="3">
        <v>6.0999999999999996</v>
      </c>
      <c r="D138" s="3">
        <v>2.2999999999999998</v>
      </c>
      <c r="E138" s="3" t="s">
        <v>7</v>
      </c>
    </row>
    <row r="139">
      <c r="A139" s="3">
        <v>6.2999999999999998</v>
      </c>
      <c r="B139" s="3">
        <v>3.3999999999999999</v>
      </c>
      <c r="C139" s="3">
        <v>5.5999999999999996</v>
      </c>
      <c r="D139" s="3">
        <v>2.3999999999999999</v>
      </c>
      <c r="E139" s="3" t="s">
        <v>7</v>
      </c>
    </row>
    <row r="140">
      <c r="A140" s="3">
        <v>6.4000000000000004</v>
      </c>
      <c r="B140" s="3">
        <v>3.1000000000000001</v>
      </c>
      <c r="C140" s="3">
        <v>5.5</v>
      </c>
      <c r="D140" s="3">
        <v>1.8</v>
      </c>
      <c r="E140" s="3" t="s">
        <v>7</v>
      </c>
    </row>
    <row r="141">
      <c r="A141" s="3">
        <v>6</v>
      </c>
      <c r="B141" s="3">
        <v>3</v>
      </c>
      <c r="C141" s="3">
        <v>4.7999999999999998</v>
      </c>
      <c r="D141" s="3">
        <v>1.8</v>
      </c>
      <c r="E141" s="3" t="s">
        <v>7</v>
      </c>
    </row>
    <row r="142">
      <c r="A142" s="3">
        <v>6.9000000000000004</v>
      </c>
      <c r="B142" s="3">
        <v>3.1000000000000001</v>
      </c>
      <c r="C142" s="3">
        <v>5.4000000000000004</v>
      </c>
      <c r="D142" s="3">
        <v>2.1000000000000001</v>
      </c>
      <c r="E142" s="3" t="s">
        <v>7</v>
      </c>
    </row>
    <row r="143">
      <c r="A143" s="3">
        <v>6.7000000000000002</v>
      </c>
      <c r="B143" s="3">
        <v>3.1000000000000001</v>
      </c>
      <c r="C143" s="3">
        <v>5.5999999999999996</v>
      </c>
      <c r="D143" s="3">
        <v>2.3999999999999999</v>
      </c>
      <c r="E143" s="3" t="s">
        <v>7</v>
      </c>
    </row>
    <row r="144">
      <c r="A144" s="3">
        <v>6.9000000000000004</v>
      </c>
      <c r="B144" s="3">
        <v>3.1000000000000001</v>
      </c>
      <c r="C144" s="3">
        <v>5.0999999999999996</v>
      </c>
      <c r="D144" s="3">
        <v>2.2999999999999998</v>
      </c>
      <c r="E144" s="3" t="s">
        <v>7</v>
      </c>
    </row>
    <row r="145">
      <c r="A145" s="3">
        <v>5.7999999999999998</v>
      </c>
      <c r="B145" s="3">
        <v>2.7000000000000002</v>
      </c>
      <c r="C145" s="3">
        <v>5.0999999999999996</v>
      </c>
      <c r="D145" s="3">
        <v>1.8999999999999999</v>
      </c>
      <c r="E145" s="3" t="s">
        <v>7</v>
      </c>
    </row>
    <row r="146">
      <c r="A146" s="3">
        <v>6.7999999999999998</v>
      </c>
      <c r="B146" s="3">
        <v>3.2000000000000002</v>
      </c>
      <c r="C146" s="3">
        <v>5.9000000000000004</v>
      </c>
      <c r="D146" s="3">
        <v>2.2999999999999998</v>
      </c>
      <c r="E146" s="3" t="s">
        <v>7</v>
      </c>
    </row>
    <row r="147">
      <c r="A147" s="3">
        <v>6.7000000000000002</v>
      </c>
      <c r="B147" s="3">
        <v>3.2999999999999998</v>
      </c>
      <c r="C147" s="3">
        <v>5.7000000000000002</v>
      </c>
      <c r="D147" s="3">
        <v>2.5</v>
      </c>
      <c r="E147" s="3" t="s">
        <v>7</v>
      </c>
    </row>
    <row r="148">
      <c r="A148" s="3">
        <v>6.7000000000000002</v>
      </c>
      <c r="B148" s="3">
        <v>3</v>
      </c>
      <c r="C148" s="3">
        <v>5.2000000000000002</v>
      </c>
      <c r="D148" s="3">
        <v>2.2999999999999998</v>
      </c>
      <c r="E148" s="3" t="s">
        <v>7</v>
      </c>
    </row>
    <row r="149">
      <c r="A149" s="3">
        <v>6.2999999999999998</v>
      </c>
      <c r="B149" s="3">
        <v>2.5</v>
      </c>
      <c r="C149" s="3">
        <v>5</v>
      </c>
      <c r="D149" s="3">
        <v>1.8999999999999999</v>
      </c>
      <c r="E149" s="3" t="s">
        <v>7</v>
      </c>
    </row>
    <row r="150">
      <c r="A150" s="3">
        <v>6.5</v>
      </c>
      <c r="B150" s="3">
        <v>3</v>
      </c>
      <c r="C150" s="3">
        <v>5.2000000000000002</v>
      </c>
      <c r="D150" s="3">
        <v>2</v>
      </c>
      <c r="E150" s="3" t="s">
        <v>7</v>
      </c>
    </row>
    <row r="151">
      <c r="A151" s="3">
        <v>6.2000000000000002</v>
      </c>
      <c r="B151" s="3">
        <v>3.3999999999999999</v>
      </c>
      <c r="C151" s="3">
        <v>5.4000000000000004</v>
      </c>
      <c r="D151" s="3">
        <v>2.2999999999999998</v>
      </c>
      <c r="E151" s="3" t="s">
        <v>7</v>
      </c>
    </row>
    <row r="152">
      <c r="A152" s="3">
        <v>5.9000000000000004</v>
      </c>
      <c r="B152" s="3">
        <v>3</v>
      </c>
      <c r="C152" s="3">
        <v>5.0999999999999996</v>
      </c>
      <c r="D152" s="3">
        <v>1.8</v>
      </c>
      <c r="E152" s="3" t="s">
        <v>7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2" topLeftCell="A13" activePane="bottomLeft" state="frozen"/>
      <selection activeCell="A12" activeCellId="0" sqref="A12:A162"/>
    </sheetView>
  </sheetViews>
  <sheetFormatPr defaultColWidth="8.6640625" defaultRowHeight="14.4"/>
  <cols>
    <col customWidth="1" min="1" max="1" width="6"/>
    <col customWidth="1" min="2" max="2" width="8"/>
    <col customWidth="1" min="3" max="3" width="10"/>
    <col customWidth="1" min="4" max="4" width="8"/>
    <col customWidth="1" min="5" max="5" width="10"/>
    <col customWidth="1" min="6" max="6" width="8"/>
    <col customWidth="1" min="7" max="7" width="10"/>
    <col customWidth="1" min="8" max="8" width="8"/>
    <col customWidth="1" min="9" max="9" width="10"/>
    <col customWidth="1" min="10" max="10" width="14"/>
  </cols>
  <sheetData>
    <row r="1" ht="19.5" customHeight="1">
      <c r="A1" s="4" t="s">
        <v>8</v>
      </c>
      <c r="B1" s="4"/>
      <c r="C1" s="4"/>
      <c r="D1" s="4"/>
      <c r="E1" s="4"/>
      <c r="F1" s="4"/>
    </row>
    <row r="2" ht="33.75" customHeight="1">
      <c r="A2" s="5" t="s">
        <v>9</v>
      </c>
      <c r="B2" s="5"/>
      <c r="C2" s="5"/>
      <c r="D2" s="5"/>
      <c r="E2" s="5"/>
      <c r="F2" s="5"/>
    </row>
    <row r="4">
      <c r="A4" s="6" t="s">
        <v>10</v>
      </c>
    </row>
    <row r="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>
      <c r="A6" s="7" t="s">
        <v>0</v>
      </c>
      <c r="B6" s="7">
        <f>MIN(iris_data_csv!A3:A152)</f>
        <v>4.2999999999999998</v>
      </c>
      <c r="C6" s="7">
        <f>MAX(iris_data_csv!A3:A152)</f>
        <v>7.9000000000000004</v>
      </c>
      <c r="D6" s="8">
        <f t="shared" ref="D6:D9" si="0">B6+(C6-B6)/3</f>
        <v>5.5</v>
      </c>
      <c r="E6" s="8">
        <f t="shared" ref="E6:E9" si="1">B6+2*(C6-B6)/3</f>
        <v>6.7000000000000002</v>
      </c>
    </row>
    <row r="7">
      <c r="A7" s="7" t="s">
        <v>1</v>
      </c>
      <c r="B7" s="7">
        <f>MIN(iris_data_csv!B3:B152)</f>
        <v>2</v>
      </c>
      <c r="C7" s="7">
        <f>MAX(iris_data_csv!B3:B152)</f>
        <v>4.4000000000000004</v>
      </c>
      <c r="D7" s="8">
        <f t="shared" si="0"/>
        <v>2.8000000000000003</v>
      </c>
      <c r="E7" s="8">
        <f t="shared" si="1"/>
        <v>3.6000000000000005</v>
      </c>
    </row>
    <row r="8">
      <c r="A8" s="7" t="s">
        <v>2</v>
      </c>
      <c r="B8" s="7">
        <f>MIN(iris_data_csv!C3:C152)</f>
        <v>1</v>
      </c>
      <c r="C8" s="7">
        <f>MAX(iris_data_csv!C3:C152)</f>
        <v>6.9000000000000004</v>
      </c>
      <c r="D8" s="8">
        <f t="shared" si="0"/>
        <v>2.9666666666666668</v>
      </c>
      <c r="E8" s="8">
        <f t="shared" si="1"/>
        <v>4.9333333333333336</v>
      </c>
    </row>
    <row r="9">
      <c r="A9" s="7" t="s">
        <v>3</v>
      </c>
      <c r="B9" s="7">
        <f>MIN(iris_data_csv!D3:D152)</f>
        <v>0.10000000000000001</v>
      </c>
      <c r="C9" s="7">
        <f>MAX(iris_data_csv!D3:D152)</f>
        <v>2.5</v>
      </c>
      <c r="D9" s="8">
        <f t="shared" si="0"/>
        <v>0.89999999999999991</v>
      </c>
      <c r="E9" s="8">
        <f t="shared" si="1"/>
        <v>1.7</v>
      </c>
    </row>
    <row r="12" ht="21.75" customHeight="1">
      <c r="A12" s="9" t="s">
        <v>0</v>
      </c>
      <c r="B12" s="9" t="s">
        <v>16</v>
      </c>
      <c r="C12" s="9" t="s">
        <v>1</v>
      </c>
      <c r="D12" s="9" t="s">
        <v>17</v>
      </c>
      <c r="E12" s="9" t="s">
        <v>2</v>
      </c>
      <c r="F12" s="9" t="s">
        <v>18</v>
      </c>
      <c r="G12" s="9" t="s">
        <v>3</v>
      </c>
      <c r="H12" s="9" t="s">
        <v>19</v>
      </c>
      <c r="I12" s="9" t="s">
        <v>4</v>
      </c>
    </row>
    <row r="13">
      <c r="A13" s="7">
        <f>iris_data_csv!A3</f>
        <v>5.0999999999999996</v>
      </c>
      <c r="B13" s="7" t="str">
        <f t="shared" ref="B13:B76" si="2">IF(A13&lt;=$D$6,"chico",IF(A13&lt;=$E$6,"mediano","grande"))</f>
        <v>chico</v>
      </c>
      <c r="C13" s="7">
        <f>iris_data_csv!B3</f>
        <v>3.5</v>
      </c>
      <c r="D13" s="7" t="str">
        <f t="shared" ref="D13:D76" si="3">IF(C13&lt;=$D$7,"chico",IF(C13&lt;=$E$7,"mediano","grande"))</f>
        <v>mediano</v>
      </c>
      <c r="E13" s="7">
        <f>iris_data_csv!C3</f>
        <v>1.3999999999999999</v>
      </c>
      <c r="F13" s="7" t="str">
        <f t="shared" ref="F13:F76" si="4">IF(E13&lt;=$D$8,"chico",IF(E13&lt;=$E$8,"mediano","grande"))</f>
        <v>chico</v>
      </c>
      <c r="G13" s="7">
        <f>iris_data_csv!D3</f>
        <v>0.20000000000000001</v>
      </c>
      <c r="H13" s="7" t="str">
        <f t="shared" ref="H13:H76" si="5">IF(G13&lt;=$D$9,"chico",IF(G13&lt;=$E$9,"mediano","grande"))</f>
        <v>chico</v>
      </c>
      <c r="I13" s="7" t="str">
        <f>iris_data_csv!E3</f>
        <v>Iris-setosa</v>
      </c>
    </row>
    <row r="14">
      <c r="A14" s="7">
        <f>iris_data_csv!A4</f>
        <v>4.9000000000000004</v>
      </c>
      <c r="B14" s="7" t="str">
        <f t="shared" si="2"/>
        <v>chico</v>
      </c>
      <c r="C14" s="7">
        <f>iris_data_csv!B4</f>
        <v>3</v>
      </c>
      <c r="D14" s="7" t="str">
        <f t="shared" si="3"/>
        <v>mediano</v>
      </c>
      <c r="E14" s="7">
        <f>iris_data_csv!C4</f>
        <v>1.3999999999999999</v>
      </c>
      <c r="F14" s="7" t="str">
        <f t="shared" si="4"/>
        <v>chico</v>
      </c>
      <c r="G14" s="7">
        <f>iris_data_csv!D4</f>
        <v>0.20000000000000001</v>
      </c>
      <c r="H14" s="7" t="str">
        <f t="shared" si="5"/>
        <v>chico</v>
      </c>
      <c r="I14" s="7" t="str">
        <f>iris_data_csv!E4</f>
        <v>Iris-setosa</v>
      </c>
    </row>
    <row r="15">
      <c r="A15" s="7">
        <f>iris_data_csv!A5</f>
        <v>4.7000000000000002</v>
      </c>
      <c r="B15" s="7" t="str">
        <f t="shared" si="2"/>
        <v>chico</v>
      </c>
      <c r="C15" s="7">
        <f>iris_data_csv!B5</f>
        <v>3.2000000000000002</v>
      </c>
      <c r="D15" s="7" t="str">
        <f t="shared" si="3"/>
        <v>mediano</v>
      </c>
      <c r="E15" s="7">
        <f>iris_data_csv!C5</f>
        <v>1.3</v>
      </c>
      <c r="F15" s="7" t="str">
        <f t="shared" si="4"/>
        <v>chico</v>
      </c>
      <c r="G15" s="7">
        <f>iris_data_csv!D5</f>
        <v>0.20000000000000001</v>
      </c>
      <c r="H15" s="7" t="str">
        <f t="shared" si="5"/>
        <v>chico</v>
      </c>
      <c r="I15" s="7" t="str">
        <f>iris_data_csv!E5</f>
        <v>Iris-setosa</v>
      </c>
    </row>
    <row r="16">
      <c r="A16" s="7">
        <f>iris_data_csv!A6</f>
        <v>4.5999999999999996</v>
      </c>
      <c r="B16" s="7" t="str">
        <f t="shared" si="2"/>
        <v>chico</v>
      </c>
      <c r="C16" s="7">
        <f>iris_data_csv!B6</f>
        <v>3.1000000000000001</v>
      </c>
      <c r="D16" s="7" t="str">
        <f t="shared" si="3"/>
        <v>mediano</v>
      </c>
      <c r="E16" s="7">
        <f>iris_data_csv!C6</f>
        <v>1.5</v>
      </c>
      <c r="F16" s="7" t="str">
        <f t="shared" si="4"/>
        <v>chico</v>
      </c>
      <c r="G16" s="7">
        <f>iris_data_csv!D6</f>
        <v>0.20000000000000001</v>
      </c>
      <c r="H16" s="7" t="str">
        <f t="shared" si="5"/>
        <v>chico</v>
      </c>
      <c r="I16" s="7" t="str">
        <f>iris_data_csv!E6</f>
        <v>Iris-setosa</v>
      </c>
    </row>
    <row r="17">
      <c r="A17" s="7">
        <f>iris_data_csv!A7</f>
        <v>5</v>
      </c>
      <c r="B17" s="7" t="str">
        <f t="shared" si="2"/>
        <v>chico</v>
      </c>
      <c r="C17" s="7">
        <f>iris_data_csv!B7</f>
        <v>3.6000000000000001</v>
      </c>
      <c r="D17" s="7" t="str">
        <f t="shared" si="3"/>
        <v>mediano</v>
      </c>
      <c r="E17" s="7">
        <f>iris_data_csv!C7</f>
        <v>1.3999999999999999</v>
      </c>
      <c r="F17" s="7" t="str">
        <f t="shared" si="4"/>
        <v>chico</v>
      </c>
      <c r="G17" s="7">
        <f>iris_data_csv!D7</f>
        <v>0.20000000000000001</v>
      </c>
      <c r="H17" s="7" t="str">
        <f t="shared" si="5"/>
        <v>chico</v>
      </c>
      <c r="I17" s="7" t="str">
        <f>iris_data_csv!E7</f>
        <v>Iris-setosa</v>
      </c>
    </row>
    <row r="18">
      <c r="A18" s="7">
        <f>iris_data_csv!A8</f>
        <v>5.4000000000000004</v>
      </c>
      <c r="B18" s="7" t="str">
        <f t="shared" si="2"/>
        <v>chico</v>
      </c>
      <c r="C18" s="7">
        <f>iris_data_csv!B8</f>
        <v>3.8999999999999999</v>
      </c>
      <c r="D18" s="7" t="str">
        <f t="shared" si="3"/>
        <v>grande</v>
      </c>
      <c r="E18" s="7">
        <f>iris_data_csv!C8</f>
        <v>1.7</v>
      </c>
      <c r="F18" s="7" t="str">
        <f t="shared" si="4"/>
        <v>chico</v>
      </c>
      <c r="G18" s="7">
        <f>iris_data_csv!D8</f>
        <v>0.40000000000000002</v>
      </c>
      <c r="H18" s="7" t="str">
        <f t="shared" si="5"/>
        <v>chico</v>
      </c>
      <c r="I18" s="7" t="str">
        <f>iris_data_csv!E8</f>
        <v>Iris-setosa</v>
      </c>
    </row>
    <row r="19">
      <c r="A19" s="7">
        <f>iris_data_csv!A9</f>
        <v>4.5999999999999996</v>
      </c>
      <c r="B19" s="7" t="str">
        <f t="shared" si="2"/>
        <v>chico</v>
      </c>
      <c r="C19" s="7">
        <f>iris_data_csv!B9</f>
        <v>3.3999999999999999</v>
      </c>
      <c r="D19" s="7" t="str">
        <f t="shared" si="3"/>
        <v>mediano</v>
      </c>
      <c r="E19" s="7">
        <f>iris_data_csv!C9</f>
        <v>1.3999999999999999</v>
      </c>
      <c r="F19" s="7" t="str">
        <f t="shared" si="4"/>
        <v>chico</v>
      </c>
      <c r="G19" s="7">
        <f>iris_data_csv!D9</f>
        <v>0.29999999999999999</v>
      </c>
      <c r="H19" s="7" t="str">
        <f t="shared" si="5"/>
        <v>chico</v>
      </c>
      <c r="I19" s="7" t="str">
        <f>iris_data_csv!E9</f>
        <v>Iris-setosa</v>
      </c>
    </row>
    <row r="20">
      <c r="A20" s="7">
        <f>iris_data_csv!A10</f>
        <v>5</v>
      </c>
      <c r="B20" s="7" t="str">
        <f t="shared" si="2"/>
        <v>chico</v>
      </c>
      <c r="C20" s="7">
        <f>iris_data_csv!B10</f>
        <v>3.3999999999999999</v>
      </c>
      <c r="D20" s="7" t="str">
        <f t="shared" si="3"/>
        <v>mediano</v>
      </c>
      <c r="E20" s="7">
        <f>iris_data_csv!C10</f>
        <v>1.5</v>
      </c>
      <c r="F20" s="7" t="str">
        <f t="shared" si="4"/>
        <v>chico</v>
      </c>
      <c r="G20" s="7">
        <f>iris_data_csv!D10</f>
        <v>0.20000000000000001</v>
      </c>
      <c r="H20" s="7" t="str">
        <f t="shared" si="5"/>
        <v>chico</v>
      </c>
      <c r="I20" s="7" t="str">
        <f>iris_data_csv!E10</f>
        <v>Iris-setosa</v>
      </c>
    </row>
    <row r="21">
      <c r="A21" s="7">
        <f>iris_data_csv!A11</f>
        <v>4.4000000000000004</v>
      </c>
      <c r="B21" s="7" t="str">
        <f t="shared" si="2"/>
        <v>chico</v>
      </c>
      <c r="C21" s="7">
        <f>iris_data_csv!B11</f>
        <v>2.8999999999999999</v>
      </c>
      <c r="D21" s="7" t="str">
        <f t="shared" si="3"/>
        <v>mediano</v>
      </c>
      <c r="E21" s="7">
        <f>iris_data_csv!C11</f>
        <v>1.3999999999999999</v>
      </c>
      <c r="F21" s="7" t="str">
        <f t="shared" si="4"/>
        <v>chico</v>
      </c>
      <c r="G21" s="7">
        <f>iris_data_csv!D11</f>
        <v>0.20000000000000001</v>
      </c>
      <c r="H21" s="7" t="str">
        <f t="shared" si="5"/>
        <v>chico</v>
      </c>
      <c r="I21" s="7" t="str">
        <f>iris_data_csv!E11</f>
        <v>Iris-setosa</v>
      </c>
    </row>
    <row r="22">
      <c r="A22" s="7">
        <f>iris_data_csv!A12</f>
        <v>4.9000000000000004</v>
      </c>
      <c r="B22" s="7" t="str">
        <f t="shared" si="2"/>
        <v>chico</v>
      </c>
      <c r="C22" s="7">
        <f>iris_data_csv!B12</f>
        <v>3.1000000000000001</v>
      </c>
      <c r="D22" s="7" t="str">
        <f t="shared" si="3"/>
        <v>mediano</v>
      </c>
      <c r="E22" s="7">
        <f>iris_data_csv!C12</f>
        <v>1.5</v>
      </c>
      <c r="F22" s="7" t="str">
        <f t="shared" si="4"/>
        <v>chico</v>
      </c>
      <c r="G22" s="7">
        <f>iris_data_csv!D12</f>
        <v>0.10000000000000001</v>
      </c>
      <c r="H22" s="7" t="str">
        <f t="shared" si="5"/>
        <v>chico</v>
      </c>
      <c r="I22" s="7" t="str">
        <f>iris_data_csv!E12</f>
        <v>Iris-setosa</v>
      </c>
    </row>
    <row r="23">
      <c r="A23" s="7">
        <f>iris_data_csv!A13</f>
        <v>5.4000000000000004</v>
      </c>
      <c r="B23" s="7" t="str">
        <f t="shared" si="2"/>
        <v>chico</v>
      </c>
      <c r="C23" s="7">
        <f>iris_data_csv!B13</f>
        <v>3.7000000000000002</v>
      </c>
      <c r="D23" s="7" t="str">
        <f t="shared" si="3"/>
        <v>grande</v>
      </c>
      <c r="E23" s="7">
        <f>iris_data_csv!C13</f>
        <v>1.5</v>
      </c>
      <c r="F23" s="7" t="str">
        <f t="shared" si="4"/>
        <v>chico</v>
      </c>
      <c r="G23" s="7">
        <f>iris_data_csv!D13</f>
        <v>0.20000000000000001</v>
      </c>
      <c r="H23" s="7" t="str">
        <f t="shared" si="5"/>
        <v>chico</v>
      </c>
      <c r="I23" s="7" t="str">
        <f>iris_data_csv!E13</f>
        <v>Iris-setosa</v>
      </c>
    </row>
    <row r="24">
      <c r="A24" s="7">
        <f>iris_data_csv!A14</f>
        <v>4.7999999999999998</v>
      </c>
      <c r="B24" s="7" t="str">
        <f t="shared" si="2"/>
        <v>chico</v>
      </c>
      <c r="C24" s="7">
        <f>iris_data_csv!B14</f>
        <v>3.3999999999999999</v>
      </c>
      <c r="D24" s="7" t="str">
        <f t="shared" si="3"/>
        <v>mediano</v>
      </c>
      <c r="E24" s="7">
        <f>iris_data_csv!C14</f>
        <v>1.6000000000000001</v>
      </c>
      <c r="F24" s="7" t="str">
        <f t="shared" si="4"/>
        <v>chico</v>
      </c>
      <c r="G24" s="7">
        <f>iris_data_csv!D14</f>
        <v>0.20000000000000001</v>
      </c>
      <c r="H24" s="7" t="str">
        <f t="shared" si="5"/>
        <v>chico</v>
      </c>
      <c r="I24" s="7" t="str">
        <f>iris_data_csv!E14</f>
        <v>Iris-setosa</v>
      </c>
    </row>
    <row r="25">
      <c r="A25" s="7">
        <f>iris_data_csv!A15</f>
        <v>4.7999999999999998</v>
      </c>
      <c r="B25" s="7" t="str">
        <f t="shared" si="2"/>
        <v>chico</v>
      </c>
      <c r="C25" s="7">
        <f>iris_data_csv!B15</f>
        <v>3</v>
      </c>
      <c r="D25" s="7" t="str">
        <f t="shared" si="3"/>
        <v>mediano</v>
      </c>
      <c r="E25" s="7">
        <f>iris_data_csv!C15</f>
        <v>1.3999999999999999</v>
      </c>
      <c r="F25" s="7" t="str">
        <f t="shared" si="4"/>
        <v>chico</v>
      </c>
      <c r="G25" s="7">
        <f>iris_data_csv!D15</f>
        <v>0.10000000000000001</v>
      </c>
      <c r="H25" s="7" t="str">
        <f t="shared" si="5"/>
        <v>chico</v>
      </c>
      <c r="I25" s="7" t="str">
        <f>iris_data_csv!E15</f>
        <v>Iris-setosa</v>
      </c>
    </row>
    <row r="26">
      <c r="A26" s="7">
        <f>iris_data_csv!A16</f>
        <v>4.2999999999999998</v>
      </c>
      <c r="B26" s="7" t="str">
        <f t="shared" si="2"/>
        <v>chico</v>
      </c>
      <c r="C26" s="7">
        <f>iris_data_csv!B16</f>
        <v>3</v>
      </c>
      <c r="D26" s="7" t="str">
        <f t="shared" si="3"/>
        <v>mediano</v>
      </c>
      <c r="E26" s="7">
        <f>iris_data_csv!C16</f>
        <v>1.1000000000000001</v>
      </c>
      <c r="F26" s="7" t="str">
        <f t="shared" si="4"/>
        <v>chico</v>
      </c>
      <c r="G26" s="7">
        <f>iris_data_csv!D16</f>
        <v>0.10000000000000001</v>
      </c>
      <c r="H26" s="7" t="str">
        <f t="shared" si="5"/>
        <v>chico</v>
      </c>
      <c r="I26" s="7" t="str">
        <f>iris_data_csv!E16</f>
        <v>Iris-setosa</v>
      </c>
    </row>
    <row r="27">
      <c r="A27" s="7">
        <f>iris_data_csv!A17</f>
        <v>5.7999999999999998</v>
      </c>
      <c r="B27" s="7" t="str">
        <f t="shared" si="2"/>
        <v>mediano</v>
      </c>
      <c r="C27" s="7">
        <f>iris_data_csv!B17</f>
        <v>4</v>
      </c>
      <c r="D27" s="7" t="str">
        <f t="shared" si="3"/>
        <v>grande</v>
      </c>
      <c r="E27" s="7">
        <f>iris_data_csv!C17</f>
        <v>1.2</v>
      </c>
      <c r="F27" s="7" t="str">
        <f t="shared" si="4"/>
        <v>chico</v>
      </c>
      <c r="G27" s="7">
        <f>iris_data_csv!D17</f>
        <v>0.20000000000000001</v>
      </c>
      <c r="H27" s="7" t="str">
        <f t="shared" si="5"/>
        <v>chico</v>
      </c>
      <c r="I27" s="7" t="str">
        <f>iris_data_csv!E17</f>
        <v>Iris-setosa</v>
      </c>
    </row>
    <row r="28">
      <c r="A28" s="7">
        <f>iris_data_csv!A18</f>
        <v>5.7000000000000002</v>
      </c>
      <c r="B28" s="7" t="str">
        <f t="shared" si="2"/>
        <v>mediano</v>
      </c>
      <c r="C28" s="7">
        <f>iris_data_csv!B18</f>
        <v>4.4000000000000004</v>
      </c>
      <c r="D28" s="7" t="str">
        <f t="shared" si="3"/>
        <v>grande</v>
      </c>
      <c r="E28" s="7">
        <f>iris_data_csv!C18</f>
        <v>1.5</v>
      </c>
      <c r="F28" s="7" t="str">
        <f t="shared" si="4"/>
        <v>chico</v>
      </c>
      <c r="G28" s="7">
        <f>iris_data_csv!D18</f>
        <v>0.40000000000000002</v>
      </c>
      <c r="H28" s="7" t="str">
        <f t="shared" si="5"/>
        <v>chico</v>
      </c>
      <c r="I28" s="7" t="str">
        <f>iris_data_csv!E18</f>
        <v>Iris-setosa</v>
      </c>
    </row>
    <row r="29">
      <c r="A29" s="7">
        <f>iris_data_csv!A19</f>
        <v>5.4000000000000004</v>
      </c>
      <c r="B29" s="7" t="str">
        <f t="shared" si="2"/>
        <v>chico</v>
      </c>
      <c r="C29" s="7">
        <f>iris_data_csv!B19</f>
        <v>3.8999999999999999</v>
      </c>
      <c r="D29" s="7" t="str">
        <f t="shared" si="3"/>
        <v>grande</v>
      </c>
      <c r="E29" s="7">
        <f>iris_data_csv!C19</f>
        <v>1.3</v>
      </c>
      <c r="F29" s="7" t="str">
        <f t="shared" si="4"/>
        <v>chico</v>
      </c>
      <c r="G29" s="7">
        <f>iris_data_csv!D19</f>
        <v>0.40000000000000002</v>
      </c>
      <c r="H29" s="7" t="str">
        <f t="shared" si="5"/>
        <v>chico</v>
      </c>
      <c r="I29" s="7" t="str">
        <f>iris_data_csv!E19</f>
        <v>Iris-setosa</v>
      </c>
    </row>
    <row r="30">
      <c r="A30" s="7">
        <f>iris_data_csv!A20</f>
        <v>5.0999999999999996</v>
      </c>
      <c r="B30" s="7" t="str">
        <f t="shared" si="2"/>
        <v>chico</v>
      </c>
      <c r="C30" s="7">
        <f>iris_data_csv!B20</f>
        <v>3.5</v>
      </c>
      <c r="D30" s="7" t="str">
        <f t="shared" si="3"/>
        <v>mediano</v>
      </c>
      <c r="E30" s="7">
        <f>iris_data_csv!C20</f>
        <v>1.3999999999999999</v>
      </c>
      <c r="F30" s="7" t="str">
        <f t="shared" si="4"/>
        <v>chico</v>
      </c>
      <c r="G30" s="7">
        <f>iris_data_csv!D20</f>
        <v>0.29999999999999999</v>
      </c>
      <c r="H30" s="7" t="str">
        <f t="shared" si="5"/>
        <v>chico</v>
      </c>
      <c r="I30" s="7" t="str">
        <f>iris_data_csv!E20</f>
        <v>Iris-setosa</v>
      </c>
    </row>
    <row r="31">
      <c r="A31" s="7">
        <f>iris_data_csv!A21</f>
        <v>5.7000000000000002</v>
      </c>
      <c r="B31" s="7" t="str">
        <f t="shared" si="2"/>
        <v>mediano</v>
      </c>
      <c r="C31" s="7">
        <f>iris_data_csv!B21</f>
        <v>3.7999999999999998</v>
      </c>
      <c r="D31" s="7" t="str">
        <f t="shared" si="3"/>
        <v>grande</v>
      </c>
      <c r="E31" s="7">
        <f>iris_data_csv!C21</f>
        <v>1.7</v>
      </c>
      <c r="F31" s="7" t="str">
        <f t="shared" si="4"/>
        <v>chico</v>
      </c>
      <c r="G31" s="7">
        <f>iris_data_csv!D21</f>
        <v>0.29999999999999999</v>
      </c>
      <c r="H31" s="7" t="str">
        <f t="shared" si="5"/>
        <v>chico</v>
      </c>
      <c r="I31" s="7" t="str">
        <f>iris_data_csv!E21</f>
        <v>Iris-setosa</v>
      </c>
    </row>
    <row r="32">
      <c r="A32" s="7">
        <f>iris_data_csv!A22</f>
        <v>5.0999999999999996</v>
      </c>
      <c r="B32" s="7" t="str">
        <f t="shared" si="2"/>
        <v>chico</v>
      </c>
      <c r="C32" s="7">
        <f>iris_data_csv!B22</f>
        <v>3.7999999999999998</v>
      </c>
      <c r="D32" s="7" t="str">
        <f t="shared" si="3"/>
        <v>grande</v>
      </c>
      <c r="E32" s="7">
        <f>iris_data_csv!C22</f>
        <v>1.5</v>
      </c>
      <c r="F32" s="7" t="str">
        <f t="shared" si="4"/>
        <v>chico</v>
      </c>
      <c r="G32" s="7">
        <f>iris_data_csv!D22</f>
        <v>0.29999999999999999</v>
      </c>
      <c r="H32" s="7" t="str">
        <f t="shared" si="5"/>
        <v>chico</v>
      </c>
      <c r="I32" s="7" t="str">
        <f>iris_data_csv!E22</f>
        <v>Iris-setosa</v>
      </c>
    </row>
    <row r="33">
      <c r="A33" s="7">
        <f>iris_data_csv!A23</f>
        <v>5.4000000000000004</v>
      </c>
      <c r="B33" s="7" t="str">
        <f t="shared" si="2"/>
        <v>chico</v>
      </c>
      <c r="C33" s="7">
        <f>iris_data_csv!B23</f>
        <v>3.3999999999999999</v>
      </c>
      <c r="D33" s="7" t="str">
        <f t="shared" si="3"/>
        <v>mediano</v>
      </c>
      <c r="E33" s="7">
        <f>iris_data_csv!C23</f>
        <v>1.7</v>
      </c>
      <c r="F33" s="7" t="str">
        <f t="shared" si="4"/>
        <v>chico</v>
      </c>
      <c r="G33" s="7">
        <f>iris_data_csv!D23</f>
        <v>0.20000000000000001</v>
      </c>
      <c r="H33" s="7" t="str">
        <f t="shared" si="5"/>
        <v>chico</v>
      </c>
      <c r="I33" s="7" t="str">
        <f>iris_data_csv!E23</f>
        <v>Iris-setosa</v>
      </c>
    </row>
    <row r="34">
      <c r="A34" s="7">
        <f>iris_data_csv!A24</f>
        <v>5.0999999999999996</v>
      </c>
      <c r="B34" s="7" t="str">
        <f t="shared" si="2"/>
        <v>chico</v>
      </c>
      <c r="C34" s="7">
        <f>iris_data_csv!B24</f>
        <v>3.7000000000000002</v>
      </c>
      <c r="D34" s="7" t="str">
        <f t="shared" si="3"/>
        <v>grande</v>
      </c>
      <c r="E34" s="7">
        <f>iris_data_csv!C24</f>
        <v>1.5</v>
      </c>
      <c r="F34" s="7" t="str">
        <f t="shared" si="4"/>
        <v>chico</v>
      </c>
      <c r="G34" s="7">
        <f>iris_data_csv!D24</f>
        <v>0.40000000000000002</v>
      </c>
      <c r="H34" s="7" t="str">
        <f t="shared" si="5"/>
        <v>chico</v>
      </c>
      <c r="I34" s="7" t="str">
        <f>iris_data_csv!E24</f>
        <v>Iris-setosa</v>
      </c>
    </row>
    <row r="35">
      <c r="A35" s="7">
        <f>iris_data_csv!A25</f>
        <v>4.5999999999999996</v>
      </c>
      <c r="B35" s="7" t="str">
        <f t="shared" si="2"/>
        <v>chico</v>
      </c>
      <c r="C35" s="7">
        <f>iris_data_csv!B25</f>
        <v>3.6000000000000001</v>
      </c>
      <c r="D35" s="7" t="str">
        <f t="shared" si="3"/>
        <v>mediano</v>
      </c>
      <c r="E35" s="7">
        <f>iris_data_csv!C25</f>
        <v>1</v>
      </c>
      <c r="F35" s="7" t="str">
        <f t="shared" si="4"/>
        <v>chico</v>
      </c>
      <c r="G35" s="7">
        <f>iris_data_csv!D25</f>
        <v>0.20000000000000001</v>
      </c>
      <c r="H35" s="7" t="str">
        <f t="shared" si="5"/>
        <v>chico</v>
      </c>
      <c r="I35" s="7" t="str">
        <f>iris_data_csv!E25</f>
        <v>Iris-setosa</v>
      </c>
    </row>
    <row r="36">
      <c r="A36" s="7">
        <f>iris_data_csv!A26</f>
        <v>5.0999999999999996</v>
      </c>
      <c r="B36" s="7" t="str">
        <f t="shared" si="2"/>
        <v>chico</v>
      </c>
      <c r="C36" s="7">
        <f>iris_data_csv!B26</f>
        <v>3.2999999999999998</v>
      </c>
      <c r="D36" s="7" t="str">
        <f t="shared" si="3"/>
        <v>mediano</v>
      </c>
      <c r="E36" s="7">
        <f>iris_data_csv!C26</f>
        <v>1.7</v>
      </c>
      <c r="F36" s="7" t="str">
        <f t="shared" si="4"/>
        <v>chico</v>
      </c>
      <c r="G36" s="7">
        <f>iris_data_csv!D26</f>
        <v>0.5</v>
      </c>
      <c r="H36" s="7" t="str">
        <f t="shared" si="5"/>
        <v>chico</v>
      </c>
      <c r="I36" s="7" t="str">
        <f>iris_data_csv!E26</f>
        <v>Iris-setosa</v>
      </c>
    </row>
    <row r="37">
      <c r="A37" s="7">
        <f>iris_data_csv!A27</f>
        <v>4.7999999999999998</v>
      </c>
      <c r="B37" s="7" t="str">
        <f t="shared" si="2"/>
        <v>chico</v>
      </c>
      <c r="C37" s="7">
        <f>iris_data_csv!B27</f>
        <v>3.3999999999999999</v>
      </c>
      <c r="D37" s="7" t="str">
        <f t="shared" si="3"/>
        <v>mediano</v>
      </c>
      <c r="E37" s="7">
        <f>iris_data_csv!C27</f>
        <v>1.8999999999999999</v>
      </c>
      <c r="F37" s="7" t="str">
        <f t="shared" si="4"/>
        <v>chico</v>
      </c>
      <c r="G37" s="7">
        <f>iris_data_csv!D27</f>
        <v>0.20000000000000001</v>
      </c>
      <c r="H37" s="7" t="str">
        <f t="shared" si="5"/>
        <v>chico</v>
      </c>
      <c r="I37" s="7" t="str">
        <f>iris_data_csv!E27</f>
        <v>Iris-setosa</v>
      </c>
    </row>
    <row r="38">
      <c r="A38" s="7">
        <f>iris_data_csv!A28</f>
        <v>5</v>
      </c>
      <c r="B38" s="7" t="str">
        <f t="shared" si="2"/>
        <v>chico</v>
      </c>
      <c r="C38" s="7">
        <f>iris_data_csv!B28</f>
        <v>3</v>
      </c>
      <c r="D38" s="7" t="str">
        <f t="shared" si="3"/>
        <v>mediano</v>
      </c>
      <c r="E38" s="7">
        <f>iris_data_csv!C28</f>
        <v>1.6000000000000001</v>
      </c>
      <c r="F38" s="7" t="str">
        <f t="shared" si="4"/>
        <v>chico</v>
      </c>
      <c r="G38" s="7">
        <f>iris_data_csv!D28</f>
        <v>0.20000000000000001</v>
      </c>
      <c r="H38" s="7" t="str">
        <f t="shared" si="5"/>
        <v>chico</v>
      </c>
      <c r="I38" s="7" t="str">
        <f>iris_data_csv!E28</f>
        <v>Iris-setosa</v>
      </c>
    </row>
    <row r="39">
      <c r="A39" s="7">
        <f>iris_data_csv!A29</f>
        <v>5</v>
      </c>
      <c r="B39" s="7" t="str">
        <f t="shared" si="2"/>
        <v>chico</v>
      </c>
      <c r="C39" s="7">
        <f>iris_data_csv!B29</f>
        <v>3.3999999999999999</v>
      </c>
      <c r="D39" s="7" t="str">
        <f t="shared" si="3"/>
        <v>mediano</v>
      </c>
      <c r="E39" s="7">
        <f>iris_data_csv!C29</f>
        <v>1.6000000000000001</v>
      </c>
      <c r="F39" s="7" t="str">
        <f t="shared" si="4"/>
        <v>chico</v>
      </c>
      <c r="G39" s="7">
        <f>iris_data_csv!D29</f>
        <v>0.40000000000000002</v>
      </c>
      <c r="H39" s="7" t="str">
        <f t="shared" si="5"/>
        <v>chico</v>
      </c>
      <c r="I39" s="7" t="str">
        <f>iris_data_csv!E29</f>
        <v>Iris-setosa</v>
      </c>
    </row>
    <row r="40">
      <c r="A40" s="7">
        <f>iris_data_csv!A30</f>
        <v>5.2000000000000002</v>
      </c>
      <c r="B40" s="7" t="str">
        <f t="shared" si="2"/>
        <v>chico</v>
      </c>
      <c r="C40" s="7">
        <f>iris_data_csv!B30</f>
        <v>3.5</v>
      </c>
      <c r="D40" s="7" t="str">
        <f t="shared" si="3"/>
        <v>mediano</v>
      </c>
      <c r="E40" s="7">
        <f>iris_data_csv!C30</f>
        <v>1.5</v>
      </c>
      <c r="F40" s="7" t="str">
        <f t="shared" si="4"/>
        <v>chico</v>
      </c>
      <c r="G40" s="7">
        <f>iris_data_csv!D30</f>
        <v>0.20000000000000001</v>
      </c>
      <c r="H40" s="7" t="str">
        <f t="shared" si="5"/>
        <v>chico</v>
      </c>
      <c r="I40" s="7" t="str">
        <f>iris_data_csv!E30</f>
        <v>Iris-setosa</v>
      </c>
    </row>
    <row r="41">
      <c r="A41" s="7">
        <f>iris_data_csv!A31</f>
        <v>5.2000000000000002</v>
      </c>
      <c r="B41" s="7" t="str">
        <f t="shared" si="2"/>
        <v>chico</v>
      </c>
      <c r="C41" s="7">
        <f>iris_data_csv!B31</f>
        <v>3.3999999999999999</v>
      </c>
      <c r="D41" s="7" t="str">
        <f t="shared" si="3"/>
        <v>mediano</v>
      </c>
      <c r="E41" s="7">
        <f>iris_data_csv!C31</f>
        <v>1.3999999999999999</v>
      </c>
      <c r="F41" s="7" t="str">
        <f t="shared" si="4"/>
        <v>chico</v>
      </c>
      <c r="G41" s="7">
        <f>iris_data_csv!D31</f>
        <v>0.20000000000000001</v>
      </c>
      <c r="H41" s="7" t="str">
        <f t="shared" si="5"/>
        <v>chico</v>
      </c>
      <c r="I41" s="7" t="str">
        <f>iris_data_csv!E31</f>
        <v>Iris-setosa</v>
      </c>
    </row>
    <row r="42">
      <c r="A42" s="7">
        <f>iris_data_csv!A32</f>
        <v>4.7000000000000002</v>
      </c>
      <c r="B42" s="7" t="str">
        <f t="shared" si="2"/>
        <v>chico</v>
      </c>
      <c r="C42" s="7">
        <f>iris_data_csv!B32</f>
        <v>3.2000000000000002</v>
      </c>
      <c r="D42" s="7" t="str">
        <f t="shared" si="3"/>
        <v>mediano</v>
      </c>
      <c r="E42" s="7">
        <f>iris_data_csv!C32</f>
        <v>1.6000000000000001</v>
      </c>
      <c r="F42" s="7" t="str">
        <f t="shared" si="4"/>
        <v>chico</v>
      </c>
      <c r="G42" s="7">
        <f>iris_data_csv!D32</f>
        <v>0.20000000000000001</v>
      </c>
      <c r="H42" s="7" t="str">
        <f t="shared" si="5"/>
        <v>chico</v>
      </c>
      <c r="I42" s="7" t="str">
        <f>iris_data_csv!E32</f>
        <v>Iris-setosa</v>
      </c>
    </row>
    <row r="43">
      <c r="A43" s="7">
        <f>iris_data_csv!A33</f>
        <v>4.7999999999999998</v>
      </c>
      <c r="B43" s="7" t="str">
        <f t="shared" si="2"/>
        <v>chico</v>
      </c>
      <c r="C43" s="7">
        <f>iris_data_csv!B33</f>
        <v>3.1000000000000001</v>
      </c>
      <c r="D43" s="7" t="str">
        <f t="shared" si="3"/>
        <v>mediano</v>
      </c>
      <c r="E43" s="7">
        <f>iris_data_csv!C33</f>
        <v>1.6000000000000001</v>
      </c>
      <c r="F43" s="7" t="str">
        <f t="shared" si="4"/>
        <v>chico</v>
      </c>
      <c r="G43" s="7">
        <f>iris_data_csv!D33</f>
        <v>0.20000000000000001</v>
      </c>
      <c r="H43" s="7" t="str">
        <f t="shared" si="5"/>
        <v>chico</v>
      </c>
      <c r="I43" s="7" t="str">
        <f>iris_data_csv!E33</f>
        <v>Iris-setosa</v>
      </c>
    </row>
    <row r="44">
      <c r="A44" s="7">
        <f>iris_data_csv!A34</f>
        <v>5.4000000000000004</v>
      </c>
      <c r="B44" s="7" t="str">
        <f t="shared" si="2"/>
        <v>chico</v>
      </c>
      <c r="C44" s="7">
        <f>iris_data_csv!B34</f>
        <v>3.3999999999999999</v>
      </c>
      <c r="D44" s="7" t="str">
        <f t="shared" si="3"/>
        <v>mediano</v>
      </c>
      <c r="E44" s="7">
        <f>iris_data_csv!C34</f>
        <v>1.5</v>
      </c>
      <c r="F44" s="7" t="str">
        <f t="shared" si="4"/>
        <v>chico</v>
      </c>
      <c r="G44" s="7">
        <f>iris_data_csv!D34</f>
        <v>0.40000000000000002</v>
      </c>
      <c r="H44" s="7" t="str">
        <f t="shared" si="5"/>
        <v>chico</v>
      </c>
      <c r="I44" s="7" t="str">
        <f>iris_data_csv!E34</f>
        <v>Iris-setosa</v>
      </c>
    </row>
    <row r="45">
      <c r="A45" s="7">
        <f>iris_data_csv!A35</f>
        <v>5.2000000000000002</v>
      </c>
      <c r="B45" s="7" t="str">
        <f t="shared" si="2"/>
        <v>chico</v>
      </c>
      <c r="C45" s="7">
        <f>iris_data_csv!B35</f>
        <v>4.0999999999999996</v>
      </c>
      <c r="D45" s="7" t="str">
        <f t="shared" si="3"/>
        <v>grande</v>
      </c>
      <c r="E45" s="7">
        <f>iris_data_csv!C35</f>
        <v>1.5</v>
      </c>
      <c r="F45" s="7" t="str">
        <f t="shared" si="4"/>
        <v>chico</v>
      </c>
      <c r="G45" s="7">
        <f>iris_data_csv!D35</f>
        <v>0.10000000000000001</v>
      </c>
      <c r="H45" s="7" t="str">
        <f t="shared" si="5"/>
        <v>chico</v>
      </c>
      <c r="I45" s="7" t="str">
        <f>iris_data_csv!E35</f>
        <v>Iris-setosa</v>
      </c>
    </row>
    <row r="46">
      <c r="A46" s="7">
        <f>iris_data_csv!A36</f>
        <v>5.5</v>
      </c>
      <c r="B46" s="7" t="str">
        <f t="shared" si="2"/>
        <v>chico</v>
      </c>
      <c r="C46" s="7">
        <f>iris_data_csv!B36</f>
        <v>4.2000000000000002</v>
      </c>
      <c r="D46" s="7" t="str">
        <f t="shared" si="3"/>
        <v>grande</v>
      </c>
      <c r="E46" s="7">
        <f>iris_data_csv!C36</f>
        <v>1.3999999999999999</v>
      </c>
      <c r="F46" s="7" t="str">
        <f t="shared" si="4"/>
        <v>chico</v>
      </c>
      <c r="G46" s="7">
        <f>iris_data_csv!D36</f>
        <v>0.20000000000000001</v>
      </c>
      <c r="H46" s="7" t="str">
        <f t="shared" si="5"/>
        <v>chico</v>
      </c>
      <c r="I46" s="7" t="str">
        <f>iris_data_csv!E36</f>
        <v>Iris-setosa</v>
      </c>
    </row>
    <row r="47">
      <c r="A47" s="7">
        <f>iris_data_csv!A37</f>
        <v>4.9000000000000004</v>
      </c>
      <c r="B47" s="7" t="str">
        <f t="shared" si="2"/>
        <v>chico</v>
      </c>
      <c r="C47" s="7">
        <f>iris_data_csv!B37</f>
        <v>3.1000000000000001</v>
      </c>
      <c r="D47" s="7" t="str">
        <f t="shared" si="3"/>
        <v>mediano</v>
      </c>
      <c r="E47" s="7">
        <f>iris_data_csv!C37</f>
        <v>1.5</v>
      </c>
      <c r="F47" s="7" t="str">
        <f t="shared" si="4"/>
        <v>chico</v>
      </c>
      <c r="G47" s="7">
        <f>iris_data_csv!D37</f>
        <v>0.10000000000000001</v>
      </c>
      <c r="H47" s="7" t="str">
        <f t="shared" si="5"/>
        <v>chico</v>
      </c>
      <c r="I47" s="7" t="str">
        <f>iris_data_csv!E37</f>
        <v>Iris-setosa</v>
      </c>
    </row>
    <row r="48">
      <c r="A48" s="7">
        <f>iris_data_csv!A38</f>
        <v>5</v>
      </c>
      <c r="B48" s="7" t="str">
        <f t="shared" si="2"/>
        <v>chico</v>
      </c>
      <c r="C48" s="7">
        <f>iris_data_csv!B38</f>
        <v>3.2000000000000002</v>
      </c>
      <c r="D48" s="7" t="str">
        <f t="shared" si="3"/>
        <v>mediano</v>
      </c>
      <c r="E48" s="7">
        <f>iris_data_csv!C38</f>
        <v>1.2</v>
      </c>
      <c r="F48" s="7" t="str">
        <f t="shared" si="4"/>
        <v>chico</v>
      </c>
      <c r="G48" s="7">
        <f>iris_data_csv!D38</f>
        <v>0.20000000000000001</v>
      </c>
      <c r="H48" s="7" t="str">
        <f t="shared" si="5"/>
        <v>chico</v>
      </c>
      <c r="I48" s="7" t="str">
        <f>iris_data_csv!E38</f>
        <v>Iris-setosa</v>
      </c>
    </row>
    <row r="49">
      <c r="A49" s="7">
        <f>iris_data_csv!A39</f>
        <v>5.5</v>
      </c>
      <c r="B49" s="7" t="str">
        <f t="shared" si="2"/>
        <v>chico</v>
      </c>
      <c r="C49" s="7">
        <f>iris_data_csv!B39</f>
        <v>3.5</v>
      </c>
      <c r="D49" s="7" t="str">
        <f t="shared" si="3"/>
        <v>mediano</v>
      </c>
      <c r="E49" s="7">
        <f>iris_data_csv!C39</f>
        <v>1.3</v>
      </c>
      <c r="F49" s="7" t="str">
        <f t="shared" si="4"/>
        <v>chico</v>
      </c>
      <c r="G49" s="7">
        <f>iris_data_csv!D39</f>
        <v>0.20000000000000001</v>
      </c>
      <c r="H49" s="7" t="str">
        <f t="shared" si="5"/>
        <v>chico</v>
      </c>
      <c r="I49" s="7" t="str">
        <f>iris_data_csv!E39</f>
        <v>Iris-setosa</v>
      </c>
    </row>
    <row r="50">
      <c r="A50" s="7">
        <f>iris_data_csv!A40</f>
        <v>4.9000000000000004</v>
      </c>
      <c r="B50" s="7" t="str">
        <f t="shared" si="2"/>
        <v>chico</v>
      </c>
      <c r="C50" s="7">
        <f>iris_data_csv!B40</f>
        <v>3.1000000000000001</v>
      </c>
      <c r="D50" s="7" t="str">
        <f t="shared" si="3"/>
        <v>mediano</v>
      </c>
      <c r="E50" s="7">
        <f>iris_data_csv!C40</f>
        <v>1.5</v>
      </c>
      <c r="F50" s="7" t="str">
        <f t="shared" si="4"/>
        <v>chico</v>
      </c>
      <c r="G50" s="7">
        <f>iris_data_csv!D40</f>
        <v>0.10000000000000001</v>
      </c>
      <c r="H50" s="7" t="str">
        <f t="shared" si="5"/>
        <v>chico</v>
      </c>
      <c r="I50" s="7" t="str">
        <f>iris_data_csv!E40</f>
        <v>Iris-setosa</v>
      </c>
    </row>
    <row r="51">
      <c r="A51" s="7">
        <f>iris_data_csv!A41</f>
        <v>4.4000000000000004</v>
      </c>
      <c r="B51" s="7" t="str">
        <f t="shared" si="2"/>
        <v>chico</v>
      </c>
      <c r="C51" s="7">
        <f>iris_data_csv!B41</f>
        <v>3</v>
      </c>
      <c r="D51" s="7" t="str">
        <f t="shared" si="3"/>
        <v>mediano</v>
      </c>
      <c r="E51" s="7">
        <f>iris_data_csv!C41</f>
        <v>1.3</v>
      </c>
      <c r="F51" s="7" t="str">
        <f t="shared" si="4"/>
        <v>chico</v>
      </c>
      <c r="G51" s="7">
        <f>iris_data_csv!D41</f>
        <v>0.20000000000000001</v>
      </c>
      <c r="H51" s="7" t="str">
        <f t="shared" si="5"/>
        <v>chico</v>
      </c>
      <c r="I51" s="7" t="str">
        <f>iris_data_csv!E41</f>
        <v>Iris-setosa</v>
      </c>
    </row>
    <row r="52">
      <c r="A52" s="7">
        <f>iris_data_csv!A42</f>
        <v>5.0999999999999996</v>
      </c>
      <c r="B52" s="7" t="str">
        <f t="shared" si="2"/>
        <v>chico</v>
      </c>
      <c r="C52" s="7">
        <f>iris_data_csv!B42</f>
        <v>3.3999999999999999</v>
      </c>
      <c r="D52" s="7" t="str">
        <f t="shared" si="3"/>
        <v>mediano</v>
      </c>
      <c r="E52" s="7">
        <f>iris_data_csv!C42</f>
        <v>1.5</v>
      </c>
      <c r="F52" s="7" t="str">
        <f t="shared" si="4"/>
        <v>chico</v>
      </c>
      <c r="G52" s="7">
        <f>iris_data_csv!D42</f>
        <v>0.20000000000000001</v>
      </c>
      <c r="H52" s="7" t="str">
        <f t="shared" si="5"/>
        <v>chico</v>
      </c>
      <c r="I52" s="7" t="str">
        <f>iris_data_csv!E42</f>
        <v>Iris-setosa</v>
      </c>
    </row>
    <row r="53">
      <c r="A53" s="7">
        <f>iris_data_csv!A43</f>
        <v>5</v>
      </c>
      <c r="B53" s="7" t="str">
        <f t="shared" si="2"/>
        <v>chico</v>
      </c>
      <c r="C53" s="7">
        <f>iris_data_csv!B43</f>
        <v>3.5</v>
      </c>
      <c r="D53" s="7" t="str">
        <f t="shared" si="3"/>
        <v>mediano</v>
      </c>
      <c r="E53" s="7">
        <f>iris_data_csv!C43</f>
        <v>1.3</v>
      </c>
      <c r="F53" s="7" t="str">
        <f t="shared" si="4"/>
        <v>chico</v>
      </c>
      <c r="G53" s="7">
        <f>iris_data_csv!D43</f>
        <v>0.29999999999999999</v>
      </c>
      <c r="H53" s="7" t="str">
        <f t="shared" si="5"/>
        <v>chico</v>
      </c>
      <c r="I53" s="7" t="str">
        <f>iris_data_csv!E43</f>
        <v>Iris-setosa</v>
      </c>
    </row>
    <row r="54">
      <c r="A54" s="7">
        <f>iris_data_csv!A44</f>
        <v>4.5</v>
      </c>
      <c r="B54" s="7" t="str">
        <f t="shared" si="2"/>
        <v>chico</v>
      </c>
      <c r="C54" s="7">
        <f>iris_data_csv!B44</f>
        <v>2.2999999999999998</v>
      </c>
      <c r="D54" s="7" t="str">
        <f t="shared" si="3"/>
        <v>chico</v>
      </c>
      <c r="E54" s="7">
        <f>iris_data_csv!C44</f>
        <v>1.3</v>
      </c>
      <c r="F54" s="7" t="str">
        <f t="shared" si="4"/>
        <v>chico</v>
      </c>
      <c r="G54" s="7">
        <f>iris_data_csv!D44</f>
        <v>0.29999999999999999</v>
      </c>
      <c r="H54" s="7" t="str">
        <f t="shared" si="5"/>
        <v>chico</v>
      </c>
      <c r="I54" s="7" t="str">
        <f>iris_data_csv!E44</f>
        <v>Iris-setosa</v>
      </c>
    </row>
    <row r="55">
      <c r="A55" s="7">
        <f>iris_data_csv!A45</f>
        <v>4.4000000000000004</v>
      </c>
      <c r="B55" s="7" t="str">
        <f t="shared" si="2"/>
        <v>chico</v>
      </c>
      <c r="C55" s="7">
        <f>iris_data_csv!B45</f>
        <v>3.2000000000000002</v>
      </c>
      <c r="D55" s="7" t="str">
        <f t="shared" si="3"/>
        <v>mediano</v>
      </c>
      <c r="E55" s="7">
        <f>iris_data_csv!C45</f>
        <v>1.3</v>
      </c>
      <c r="F55" s="7" t="str">
        <f t="shared" si="4"/>
        <v>chico</v>
      </c>
      <c r="G55" s="7">
        <f>iris_data_csv!D45</f>
        <v>0.20000000000000001</v>
      </c>
      <c r="H55" s="7" t="str">
        <f t="shared" si="5"/>
        <v>chico</v>
      </c>
      <c r="I55" s="7" t="str">
        <f>iris_data_csv!E45</f>
        <v>Iris-setosa</v>
      </c>
    </row>
    <row r="56">
      <c r="A56" s="7">
        <f>iris_data_csv!A46</f>
        <v>5</v>
      </c>
      <c r="B56" s="7" t="str">
        <f t="shared" si="2"/>
        <v>chico</v>
      </c>
      <c r="C56" s="7">
        <f>iris_data_csv!B46</f>
        <v>3.5</v>
      </c>
      <c r="D56" s="7" t="str">
        <f t="shared" si="3"/>
        <v>mediano</v>
      </c>
      <c r="E56" s="7">
        <f>iris_data_csv!C46</f>
        <v>1.6000000000000001</v>
      </c>
      <c r="F56" s="7" t="str">
        <f t="shared" si="4"/>
        <v>chico</v>
      </c>
      <c r="G56" s="7">
        <f>iris_data_csv!D46</f>
        <v>0.59999999999999998</v>
      </c>
      <c r="H56" s="7" t="str">
        <f t="shared" si="5"/>
        <v>chico</v>
      </c>
      <c r="I56" s="7" t="str">
        <f>iris_data_csv!E46</f>
        <v>Iris-setosa</v>
      </c>
    </row>
    <row r="57">
      <c r="A57" s="7">
        <f>iris_data_csv!A47</f>
        <v>5.0999999999999996</v>
      </c>
      <c r="B57" s="7" t="str">
        <f t="shared" si="2"/>
        <v>chico</v>
      </c>
      <c r="C57" s="7">
        <f>iris_data_csv!B47</f>
        <v>3.7999999999999998</v>
      </c>
      <c r="D57" s="7" t="str">
        <f t="shared" si="3"/>
        <v>grande</v>
      </c>
      <c r="E57" s="7">
        <f>iris_data_csv!C47</f>
        <v>1.8999999999999999</v>
      </c>
      <c r="F57" s="7" t="str">
        <f t="shared" si="4"/>
        <v>chico</v>
      </c>
      <c r="G57" s="7">
        <f>iris_data_csv!D47</f>
        <v>0.40000000000000002</v>
      </c>
      <c r="H57" s="7" t="str">
        <f t="shared" si="5"/>
        <v>chico</v>
      </c>
      <c r="I57" s="7" t="str">
        <f>iris_data_csv!E47</f>
        <v>Iris-setosa</v>
      </c>
    </row>
    <row r="58">
      <c r="A58" s="7">
        <f>iris_data_csv!A48</f>
        <v>4.7999999999999998</v>
      </c>
      <c r="B58" s="7" t="str">
        <f t="shared" si="2"/>
        <v>chico</v>
      </c>
      <c r="C58" s="7">
        <f>iris_data_csv!B48</f>
        <v>3</v>
      </c>
      <c r="D58" s="7" t="str">
        <f t="shared" si="3"/>
        <v>mediano</v>
      </c>
      <c r="E58" s="7">
        <f>iris_data_csv!C48</f>
        <v>1.3999999999999999</v>
      </c>
      <c r="F58" s="7" t="str">
        <f t="shared" si="4"/>
        <v>chico</v>
      </c>
      <c r="G58" s="7">
        <f>iris_data_csv!D48</f>
        <v>0.29999999999999999</v>
      </c>
      <c r="H58" s="7" t="str">
        <f t="shared" si="5"/>
        <v>chico</v>
      </c>
      <c r="I58" s="7" t="str">
        <f>iris_data_csv!E48</f>
        <v>Iris-setosa</v>
      </c>
    </row>
    <row r="59">
      <c r="A59" s="7">
        <f>iris_data_csv!A49</f>
        <v>5.0999999999999996</v>
      </c>
      <c r="B59" s="7" t="str">
        <f t="shared" si="2"/>
        <v>chico</v>
      </c>
      <c r="C59" s="7">
        <f>iris_data_csv!B49</f>
        <v>3.7999999999999998</v>
      </c>
      <c r="D59" s="7" t="str">
        <f t="shared" si="3"/>
        <v>grande</v>
      </c>
      <c r="E59" s="7">
        <f>iris_data_csv!C49</f>
        <v>1.6000000000000001</v>
      </c>
      <c r="F59" s="7" t="str">
        <f t="shared" si="4"/>
        <v>chico</v>
      </c>
      <c r="G59" s="7">
        <f>iris_data_csv!D49</f>
        <v>0.20000000000000001</v>
      </c>
      <c r="H59" s="7" t="str">
        <f t="shared" si="5"/>
        <v>chico</v>
      </c>
      <c r="I59" s="7" t="str">
        <f>iris_data_csv!E49</f>
        <v>Iris-setosa</v>
      </c>
    </row>
    <row r="60">
      <c r="A60" s="7">
        <f>iris_data_csv!A50</f>
        <v>4.5999999999999996</v>
      </c>
      <c r="B60" s="7" t="str">
        <f t="shared" si="2"/>
        <v>chico</v>
      </c>
      <c r="C60" s="7">
        <f>iris_data_csv!B50</f>
        <v>3.2000000000000002</v>
      </c>
      <c r="D60" s="7" t="str">
        <f t="shared" si="3"/>
        <v>mediano</v>
      </c>
      <c r="E60" s="7">
        <f>iris_data_csv!C50</f>
        <v>1.3999999999999999</v>
      </c>
      <c r="F60" s="7" t="str">
        <f t="shared" si="4"/>
        <v>chico</v>
      </c>
      <c r="G60" s="7">
        <f>iris_data_csv!D50</f>
        <v>0.20000000000000001</v>
      </c>
      <c r="H60" s="7" t="str">
        <f t="shared" si="5"/>
        <v>chico</v>
      </c>
      <c r="I60" s="7" t="str">
        <f>iris_data_csv!E50</f>
        <v>Iris-setosa</v>
      </c>
    </row>
    <row r="61">
      <c r="A61" s="7">
        <f>iris_data_csv!A51</f>
        <v>5.2999999999999998</v>
      </c>
      <c r="B61" s="7" t="str">
        <f t="shared" si="2"/>
        <v>chico</v>
      </c>
      <c r="C61" s="7">
        <f>iris_data_csv!B51</f>
        <v>3.7000000000000002</v>
      </c>
      <c r="D61" s="7" t="str">
        <f t="shared" si="3"/>
        <v>grande</v>
      </c>
      <c r="E61" s="7">
        <f>iris_data_csv!C51</f>
        <v>1.5</v>
      </c>
      <c r="F61" s="7" t="str">
        <f t="shared" si="4"/>
        <v>chico</v>
      </c>
      <c r="G61" s="7">
        <f>iris_data_csv!D51</f>
        <v>0.20000000000000001</v>
      </c>
      <c r="H61" s="7" t="str">
        <f t="shared" si="5"/>
        <v>chico</v>
      </c>
      <c r="I61" s="7" t="str">
        <f>iris_data_csv!E51</f>
        <v>Iris-setosa</v>
      </c>
    </row>
    <row r="62">
      <c r="A62" s="7">
        <f>iris_data_csv!A52</f>
        <v>5</v>
      </c>
      <c r="B62" s="7" t="str">
        <f t="shared" si="2"/>
        <v>chico</v>
      </c>
      <c r="C62" s="7">
        <f>iris_data_csv!B52</f>
        <v>3.2999999999999998</v>
      </c>
      <c r="D62" s="7" t="str">
        <f t="shared" si="3"/>
        <v>mediano</v>
      </c>
      <c r="E62" s="7">
        <f>iris_data_csv!C52</f>
        <v>1.3999999999999999</v>
      </c>
      <c r="F62" s="7" t="str">
        <f t="shared" si="4"/>
        <v>chico</v>
      </c>
      <c r="G62" s="7">
        <f>iris_data_csv!D52</f>
        <v>0.20000000000000001</v>
      </c>
      <c r="H62" s="7" t="str">
        <f t="shared" si="5"/>
        <v>chico</v>
      </c>
      <c r="I62" s="7" t="str">
        <f>iris_data_csv!E52</f>
        <v>Iris-setosa</v>
      </c>
    </row>
    <row r="63">
      <c r="A63" s="7">
        <f>iris_data_csv!A53</f>
        <v>7</v>
      </c>
      <c r="B63" s="7" t="str">
        <f t="shared" si="2"/>
        <v>grande</v>
      </c>
      <c r="C63" s="7">
        <f>iris_data_csv!B53</f>
        <v>3.2000000000000002</v>
      </c>
      <c r="D63" s="7" t="str">
        <f t="shared" si="3"/>
        <v>mediano</v>
      </c>
      <c r="E63" s="7">
        <f>iris_data_csv!C53</f>
        <v>4.7000000000000002</v>
      </c>
      <c r="F63" s="7" t="str">
        <f t="shared" si="4"/>
        <v>mediano</v>
      </c>
      <c r="G63" s="7">
        <f>iris_data_csv!D53</f>
        <v>1.3999999999999999</v>
      </c>
      <c r="H63" s="7" t="str">
        <f t="shared" si="5"/>
        <v>mediano</v>
      </c>
      <c r="I63" s="7" t="str">
        <f>iris_data_csv!E53</f>
        <v>Iris-versicolor</v>
      </c>
    </row>
    <row r="64">
      <c r="A64" s="7">
        <f>iris_data_csv!A54</f>
        <v>6.4000000000000004</v>
      </c>
      <c r="B64" s="7" t="str">
        <f t="shared" si="2"/>
        <v>mediano</v>
      </c>
      <c r="C64" s="7">
        <f>iris_data_csv!B54</f>
        <v>3.2000000000000002</v>
      </c>
      <c r="D64" s="7" t="str">
        <f t="shared" si="3"/>
        <v>mediano</v>
      </c>
      <c r="E64" s="7">
        <f>iris_data_csv!C54</f>
        <v>4.5</v>
      </c>
      <c r="F64" s="7" t="str">
        <f t="shared" si="4"/>
        <v>mediano</v>
      </c>
      <c r="G64" s="7">
        <f>iris_data_csv!D54</f>
        <v>1.5</v>
      </c>
      <c r="H64" s="7" t="str">
        <f t="shared" si="5"/>
        <v>mediano</v>
      </c>
      <c r="I64" s="7" t="str">
        <f>iris_data_csv!E54</f>
        <v>Iris-versicolor</v>
      </c>
    </row>
    <row r="65">
      <c r="A65" s="7">
        <f>iris_data_csv!A55</f>
        <v>6.9000000000000004</v>
      </c>
      <c r="B65" s="7" t="str">
        <f t="shared" si="2"/>
        <v>grande</v>
      </c>
      <c r="C65" s="7">
        <f>iris_data_csv!B55</f>
        <v>3.1000000000000001</v>
      </c>
      <c r="D65" s="7" t="str">
        <f t="shared" si="3"/>
        <v>mediano</v>
      </c>
      <c r="E65" s="7">
        <f>iris_data_csv!C55</f>
        <v>4.9000000000000004</v>
      </c>
      <c r="F65" s="7" t="str">
        <f t="shared" si="4"/>
        <v>mediano</v>
      </c>
      <c r="G65" s="7">
        <f>iris_data_csv!D55</f>
        <v>1.5</v>
      </c>
      <c r="H65" s="7" t="str">
        <f t="shared" si="5"/>
        <v>mediano</v>
      </c>
      <c r="I65" s="7" t="str">
        <f>iris_data_csv!E55</f>
        <v>Iris-versicolor</v>
      </c>
    </row>
    <row r="66">
      <c r="A66" s="7">
        <f>iris_data_csv!A56</f>
        <v>5.5</v>
      </c>
      <c r="B66" s="7" t="str">
        <f t="shared" si="2"/>
        <v>chico</v>
      </c>
      <c r="C66" s="7">
        <f>iris_data_csv!B56</f>
        <v>2.2999999999999998</v>
      </c>
      <c r="D66" s="7" t="str">
        <f t="shared" si="3"/>
        <v>chico</v>
      </c>
      <c r="E66" s="7">
        <f>iris_data_csv!C56</f>
        <v>4</v>
      </c>
      <c r="F66" s="7" t="str">
        <f t="shared" si="4"/>
        <v>mediano</v>
      </c>
      <c r="G66" s="7">
        <f>iris_data_csv!D56</f>
        <v>1.3</v>
      </c>
      <c r="H66" s="7" t="str">
        <f t="shared" si="5"/>
        <v>mediano</v>
      </c>
      <c r="I66" s="7" t="str">
        <f>iris_data_csv!E56</f>
        <v>Iris-versicolor</v>
      </c>
    </row>
    <row r="67">
      <c r="A67" s="7">
        <f>iris_data_csv!A57</f>
        <v>6.5</v>
      </c>
      <c r="B67" s="7" t="str">
        <f t="shared" si="2"/>
        <v>mediano</v>
      </c>
      <c r="C67" s="7">
        <f>iris_data_csv!B57</f>
        <v>2.7999999999999998</v>
      </c>
      <c r="D67" s="7" t="str">
        <f t="shared" si="3"/>
        <v>chico</v>
      </c>
      <c r="E67" s="7">
        <f>iris_data_csv!C57</f>
        <v>4.5999999999999996</v>
      </c>
      <c r="F67" s="7" t="str">
        <f t="shared" si="4"/>
        <v>mediano</v>
      </c>
      <c r="G67" s="7">
        <f>iris_data_csv!D57</f>
        <v>1.5</v>
      </c>
      <c r="H67" s="7" t="str">
        <f t="shared" si="5"/>
        <v>mediano</v>
      </c>
      <c r="I67" s="7" t="str">
        <f>iris_data_csv!E57</f>
        <v>Iris-versicolor</v>
      </c>
    </row>
    <row r="68">
      <c r="A68" s="7">
        <f>iris_data_csv!A58</f>
        <v>5.7000000000000002</v>
      </c>
      <c r="B68" s="7" t="str">
        <f t="shared" si="2"/>
        <v>mediano</v>
      </c>
      <c r="C68" s="7">
        <f>iris_data_csv!B58</f>
        <v>2.7999999999999998</v>
      </c>
      <c r="D68" s="7" t="str">
        <f t="shared" si="3"/>
        <v>chico</v>
      </c>
      <c r="E68" s="7">
        <f>iris_data_csv!C58</f>
        <v>4.5</v>
      </c>
      <c r="F68" s="7" t="str">
        <f t="shared" si="4"/>
        <v>mediano</v>
      </c>
      <c r="G68" s="7">
        <f>iris_data_csv!D58</f>
        <v>1.3</v>
      </c>
      <c r="H68" s="7" t="str">
        <f t="shared" si="5"/>
        <v>mediano</v>
      </c>
      <c r="I68" s="7" t="str">
        <f>iris_data_csv!E58</f>
        <v>Iris-versicolor</v>
      </c>
    </row>
    <row r="69">
      <c r="A69" s="7">
        <f>iris_data_csv!A59</f>
        <v>6.2999999999999998</v>
      </c>
      <c r="B69" s="7" t="str">
        <f t="shared" si="2"/>
        <v>mediano</v>
      </c>
      <c r="C69" s="7">
        <f>iris_data_csv!B59</f>
        <v>3.2999999999999998</v>
      </c>
      <c r="D69" s="7" t="str">
        <f t="shared" si="3"/>
        <v>mediano</v>
      </c>
      <c r="E69" s="7">
        <f>iris_data_csv!C59</f>
        <v>4.7000000000000002</v>
      </c>
      <c r="F69" s="7" t="str">
        <f t="shared" si="4"/>
        <v>mediano</v>
      </c>
      <c r="G69" s="7">
        <f>iris_data_csv!D59</f>
        <v>1.6000000000000001</v>
      </c>
      <c r="H69" s="7" t="str">
        <f t="shared" si="5"/>
        <v>mediano</v>
      </c>
      <c r="I69" s="7" t="str">
        <f>iris_data_csv!E59</f>
        <v>Iris-versicolor</v>
      </c>
    </row>
    <row r="70">
      <c r="A70" s="7">
        <f>iris_data_csv!A60</f>
        <v>4.9000000000000004</v>
      </c>
      <c r="B70" s="7" t="str">
        <f t="shared" si="2"/>
        <v>chico</v>
      </c>
      <c r="C70" s="7">
        <f>iris_data_csv!B60</f>
        <v>2.3999999999999999</v>
      </c>
      <c r="D70" s="7" t="str">
        <f t="shared" si="3"/>
        <v>chico</v>
      </c>
      <c r="E70" s="7">
        <f>iris_data_csv!C60</f>
        <v>3.2999999999999998</v>
      </c>
      <c r="F70" s="7" t="str">
        <f t="shared" si="4"/>
        <v>mediano</v>
      </c>
      <c r="G70" s="7">
        <f>iris_data_csv!D60</f>
        <v>1</v>
      </c>
      <c r="H70" s="7" t="str">
        <f t="shared" si="5"/>
        <v>mediano</v>
      </c>
      <c r="I70" s="7" t="str">
        <f>iris_data_csv!E60</f>
        <v>Iris-versicolor</v>
      </c>
    </row>
    <row r="71">
      <c r="A71" s="7">
        <f>iris_data_csv!A61</f>
        <v>6.5999999999999996</v>
      </c>
      <c r="B71" s="7" t="str">
        <f t="shared" si="2"/>
        <v>mediano</v>
      </c>
      <c r="C71" s="7">
        <f>iris_data_csv!B61</f>
        <v>2.8999999999999999</v>
      </c>
      <c r="D71" s="7" t="str">
        <f t="shared" si="3"/>
        <v>mediano</v>
      </c>
      <c r="E71" s="7">
        <f>iris_data_csv!C61</f>
        <v>4.5999999999999996</v>
      </c>
      <c r="F71" s="7" t="str">
        <f t="shared" si="4"/>
        <v>mediano</v>
      </c>
      <c r="G71" s="7">
        <f>iris_data_csv!D61</f>
        <v>1.3</v>
      </c>
      <c r="H71" s="7" t="str">
        <f t="shared" si="5"/>
        <v>mediano</v>
      </c>
      <c r="I71" s="7" t="str">
        <f>iris_data_csv!E61</f>
        <v>Iris-versicolor</v>
      </c>
    </row>
    <row r="72">
      <c r="A72" s="7">
        <f>iris_data_csv!A62</f>
        <v>5.2000000000000002</v>
      </c>
      <c r="B72" s="7" t="str">
        <f t="shared" si="2"/>
        <v>chico</v>
      </c>
      <c r="C72" s="7">
        <f>iris_data_csv!B62</f>
        <v>2.7000000000000002</v>
      </c>
      <c r="D72" s="7" t="str">
        <f t="shared" si="3"/>
        <v>chico</v>
      </c>
      <c r="E72" s="7">
        <f>iris_data_csv!C62</f>
        <v>3.8999999999999999</v>
      </c>
      <c r="F72" s="7" t="str">
        <f t="shared" si="4"/>
        <v>mediano</v>
      </c>
      <c r="G72" s="7">
        <f>iris_data_csv!D62</f>
        <v>1.3999999999999999</v>
      </c>
      <c r="H72" s="7" t="str">
        <f t="shared" si="5"/>
        <v>mediano</v>
      </c>
      <c r="I72" s="7" t="str">
        <f>iris_data_csv!E62</f>
        <v>Iris-versicolor</v>
      </c>
    </row>
    <row r="73">
      <c r="A73" s="7">
        <f>iris_data_csv!A63</f>
        <v>5</v>
      </c>
      <c r="B73" s="7" t="str">
        <f t="shared" si="2"/>
        <v>chico</v>
      </c>
      <c r="C73" s="7">
        <f>iris_data_csv!B63</f>
        <v>2</v>
      </c>
      <c r="D73" s="7" t="str">
        <f t="shared" si="3"/>
        <v>chico</v>
      </c>
      <c r="E73" s="7">
        <f>iris_data_csv!C63</f>
        <v>3.5</v>
      </c>
      <c r="F73" s="7" t="str">
        <f t="shared" si="4"/>
        <v>mediano</v>
      </c>
      <c r="G73" s="7">
        <f>iris_data_csv!D63</f>
        <v>1</v>
      </c>
      <c r="H73" s="7" t="str">
        <f t="shared" si="5"/>
        <v>mediano</v>
      </c>
      <c r="I73" s="7" t="str">
        <f>iris_data_csv!E63</f>
        <v>Iris-versicolor</v>
      </c>
    </row>
    <row r="74">
      <c r="A74" s="7">
        <f>iris_data_csv!A64</f>
        <v>5.9000000000000004</v>
      </c>
      <c r="B74" s="7" t="str">
        <f t="shared" si="2"/>
        <v>mediano</v>
      </c>
      <c r="C74" s="7">
        <f>iris_data_csv!B64</f>
        <v>3</v>
      </c>
      <c r="D74" s="7" t="str">
        <f t="shared" si="3"/>
        <v>mediano</v>
      </c>
      <c r="E74" s="7">
        <f>iris_data_csv!C64</f>
        <v>4.2000000000000002</v>
      </c>
      <c r="F74" s="7" t="str">
        <f t="shared" si="4"/>
        <v>mediano</v>
      </c>
      <c r="G74" s="7">
        <f>iris_data_csv!D64</f>
        <v>1.5</v>
      </c>
      <c r="H74" s="7" t="str">
        <f t="shared" si="5"/>
        <v>mediano</v>
      </c>
      <c r="I74" s="7" t="str">
        <f>iris_data_csv!E64</f>
        <v>Iris-versicolor</v>
      </c>
    </row>
    <row r="75">
      <c r="A75" s="7">
        <f>iris_data_csv!A65</f>
        <v>6</v>
      </c>
      <c r="B75" s="7" t="str">
        <f t="shared" si="2"/>
        <v>mediano</v>
      </c>
      <c r="C75" s="7">
        <f>iris_data_csv!B65</f>
        <v>2.2000000000000002</v>
      </c>
      <c r="D75" s="7" t="str">
        <f t="shared" si="3"/>
        <v>chico</v>
      </c>
      <c r="E75" s="7">
        <f>iris_data_csv!C65</f>
        <v>4</v>
      </c>
      <c r="F75" s="7" t="str">
        <f t="shared" si="4"/>
        <v>mediano</v>
      </c>
      <c r="G75" s="7">
        <f>iris_data_csv!D65</f>
        <v>1</v>
      </c>
      <c r="H75" s="7" t="str">
        <f t="shared" si="5"/>
        <v>mediano</v>
      </c>
      <c r="I75" s="7" t="str">
        <f>iris_data_csv!E65</f>
        <v>Iris-versicolor</v>
      </c>
    </row>
    <row r="76">
      <c r="A76" s="7">
        <f>iris_data_csv!A66</f>
        <v>6.0999999999999996</v>
      </c>
      <c r="B76" s="7" t="str">
        <f t="shared" si="2"/>
        <v>mediano</v>
      </c>
      <c r="C76" s="7">
        <f>iris_data_csv!B66</f>
        <v>2.8999999999999999</v>
      </c>
      <c r="D76" s="7" t="str">
        <f t="shared" si="3"/>
        <v>mediano</v>
      </c>
      <c r="E76" s="7">
        <f>iris_data_csv!C66</f>
        <v>4.7000000000000002</v>
      </c>
      <c r="F76" s="7" t="str">
        <f t="shared" si="4"/>
        <v>mediano</v>
      </c>
      <c r="G76" s="7">
        <f>iris_data_csv!D66</f>
        <v>1.3999999999999999</v>
      </c>
      <c r="H76" s="7" t="str">
        <f t="shared" si="5"/>
        <v>mediano</v>
      </c>
      <c r="I76" s="7" t="str">
        <f>iris_data_csv!E66</f>
        <v>Iris-versicolor</v>
      </c>
    </row>
    <row r="77">
      <c r="A77" s="7">
        <f>iris_data_csv!A67</f>
        <v>5.5999999999999996</v>
      </c>
      <c r="B77" s="7" t="str">
        <f t="shared" ref="B77:B108" si="6">IF(A77&lt;=$D$6,"chico",IF(A77&lt;=$E$6,"mediano","grande"))</f>
        <v>mediano</v>
      </c>
      <c r="C77" s="7">
        <f>iris_data_csv!B67</f>
        <v>2.8999999999999999</v>
      </c>
      <c r="D77" s="7" t="str">
        <f t="shared" ref="D77:D108" si="7">IF(C77&lt;=$D$7,"chico",IF(C77&lt;=$E$7,"mediano","grande"))</f>
        <v>mediano</v>
      </c>
      <c r="E77" s="7">
        <f>iris_data_csv!C67</f>
        <v>3.6000000000000001</v>
      </c>
      <c r="F77" s="7" t="str">
        <f t="shared" ref="F77:F108" si="8">IF(E77&lt;=$D$8,"chico",IF(E77&lt;=$E$8,"mediano","grande"))</f>
        <v>mediano</v>
      </c>
      <c r="G77" s="7">
        <f>iris_data_csv!D67</f>
        <v>1.3</v>
      </c>
      <c r="H77" s="7" t="str">
        <f t="shared" ref="H77:H108" si="9">IF(G77&lt;=$D$9,"chico",IF(G77&lt;=$E$9,"mediano","grande"))</f>
        <v>mediano</v>
      </c>
      <c r="I77" s="7" t="str">
        <f>iris_data_csv!E67</f>
        <v>Iris-versicolor</v>
      </c>
    </row>
    <row r="78">
      <c r="A78" s="7">
        <f>iris_data_csv!A68</f>
        <v>6.7000000000000002</v>
      </c>
      <c r="B78" s="7" t="str">
        <f t="shared" si="6"/>
        <v>mediano</v>
      </c>
      <c r="C78" s="7">
        <f>iris_data_csv!B68</f>
        <v>3.1000000000000001</v>
      </c>
      <c r="D78" s="7" t="str">
        <f t="shared" si="7"/>
        <v>mediano</v>
      </c>
      <c r="E78" s="7">
        <f>iris_data_csv!C68</f>
        <v>4.4000000000000004</v>
      </c>
      <c r="F78" s="7" t="str">
        <f t="shared" si="8"/>
        <v>mediano</v>
      </c>
      <c r="G78" s="7">
        <f>iris_data_csv!D68</f>
        <v>1.3999999999999999</v>
      </c>
      <c r="H78" s="7" t="str">
        <f t="shared" si="9"/>
        <v>mediano</v>
      </c>
      <c r="I78" s="7" t="str">
        <f>iris_data_csv!E68</f>
        <v>Iris-versicolor</v>
      </c>
    </row>
    <row r="79">
      <c r="A79" s="7">
        <f>iris_data_csv!A69</f>
        <v>5.5999999999999996</v>
      </c>
      <c r="B79" s="7" t="str">
        <f t="shared" si="6"/>
        <v>mediano</v>
      </c>
      <c r="C79" s="7">
        <f>iris_data_csv!B69</f>
        <v>3</v>
      </c>
      <c r="D79" s="7" t="str">
        <f t="shared" si="7"/>
        <v>mediano</v>
      </c>
      <c r="E79" s="7">
        <f>iris_data_csv!C69</f>
        <v>4.5</v>
      </c>
      <c r="F79" s="7" t="str">
        <f t="shared" si="8"/>
        <v>mediano</v>
      </c>
      <c r="G79" s="7">
        <f>iris_data_csv!D69</f>
        <v>1.5</v>
      </c>
      <c r="H79" s="7" t="str">
        <f t="shared" si="9"/>
        <v>mediano</v>
      </c>
      <c r="I79" s="7" t="str">
        <f>iris_data_csv!E69</f>
        <v>Iris-versicolor</v>
      </c>
    </row>
    <row r="80">
      <c r="A80" s="7">
        <f>iris_data_csv!A70</f>
        <v>5.7999999999999998</v>
      </c>
      <c r="B80" s="7" t="str">
        <f t="shared" si="6"/>
        <v>mediano</v>
      </c>
      <c r="C80" s="7">
        <f>iris_data_csv!B70</f>
        <v>2.7000000000000002</v>
      </c>
      <c r="D80" s="7" t="str">
        <f t="shared" si="7"/>
        <v>chico</v>
      </c>
      <c r="E80" s="7">
        <f>iris_data_csv!C70</f>
        <v>4.0999999999999996</v>
      </c>
      <c r="F80" s="7" t="str">
        <f t="shared" si="8"/>
        <v>mediano</v>
      </c>
      <c r="G80" s="7">
        <f>iris_data_csv!D70</f>
        <v>1</v>
      </c>
      <c r="H80" s="7" t="str">
        <f t="shared" si="9"/>
        <v>mediano</v>
      </c>
      <c r="I80" s="7" t="str">
        <f>iris_data_csv!E70</f>
        <v>Iris-versicolor</v>
      </c>
    </row>
    <row r="81">
      <c r="A81" s="7">
        <f>iris_data_csv!A71</f>
        <v>6.2000000000000002</v>
      </c>
      <c r="B81" s="7" t="str">
        <f t="shared" si="6"/>
        <v>mediano</v>
      </c>
      <c r="C81" s="7">
        <f>iris_data_csv!B71</f>
        <v>2.2000000000000002</v>
      </c>
      <c r="D81" s="7" t="str">
        <f t="shared" si="7"/>
        <v>chico</v>
      </c>
      <c r="E81" s="7">
        <f>iris_data_csv!C71</f>
        <v>4.5</v>
      </c>
      <c r="F81" s="7" t="str">
        <f t="shared" si="8"/>
        <v>mediano</v>
      </c>
      <c r="G81" s="7">
        <f>iris_data_csv!D71</f>
        <v>1.5</v>
      </c>
      <c r="H81" s="7" t="str">
        <f t="shared" si="9"/>
        <v>mediano</v>
      </c>
      <c r="I81" s="7" t="str">
        <f>iris_data_csv!E71</f>
        <v>Iris-versicolor</v>
      </c>
    </row>
    <row r="82">
      <c r="A82" s="7">
        <f>iris_data_csv!A72</f>
        <v>5.5999999999999996</v>
      </c>
      <c r="B82" s="7" t="str">
        <f t="shared" si="6"/>
        <v>mediano</v>
      </c>
      <c r="C82" s="7">
        <f>iris_data_csv!B72</f>
        <v>2.5</v>
      </c>
      <c r="D82" s="7" t="str">
        <f t="shared" si="7"/>
        <v>chico</v>
      </c>
      <c r="E82" s="7">
        <f>iris_data_csv!C72</f>
        <v>3.8999999999999999</v>
      </c>
      <c r="F82" s="7" t="str">
        <f t="shared" si="8"/>
        <v>mediano</v>
      </c>
      <c r="G82" s="7">
        <f>iris_data_csv!D72</f>
        <v>1.1000000000000001</v>
      </c>
      <c r="H82" s="7" t="str">
        <f t="shared" si="9"/>
        <v>mediano</v>
      </c>
      <c r="I82" s="7" t="str">
        <f>iris_data_csv!E72</f>
        <v>Iris-versicolor</v>
      </c>
    </row>
    <row r="83">
      <c r="A83" s="7">
        <f>iris_data_csv!A73</f>
        <v>5.9000000000000004</v>
      </c>
      <c r="B83" s="7" t="str">
        <f t="shared" si="6"/>
        <v>mediano</v>
      </c>
      <c r="C83" s="7">
        <f>iris_data_csv!B73</f>
        <v>3.2000000000000002</v>
      </c>
      <c r="D83" s="7" t="str">
        <f t="shared" si="7"/>
        <v>mediano</v>
      </c>
      <c r="E83" s="7">
        <f>iris_data_csv!C73</f>
        <v>4.7999999999999998</v>
      </c>
      <c r="F83" s="7" t="str">
        <f t="shared" si="8"/>
        <v>mediano</v>
      </c>
      <c r="G83" s="7">
        <f>iris_data_csv!D73</f>
        <v>1.8</v>
      </c>
      <c r="H83" s="7" t="str">
        <f t="shared" si="9"/>
        <v>grande</v>
      </c>
      <c r="I83" s="7" t="str">
        <f>iris_data_csv!E73</f>
        <v>Iris-versicolor</v>
      </c>
    </row>
    <row r="84">
      <c r="A84" s="7">
        <f>iris_data_csv!A74</f>
        <v>6.0999999999999996</v>
      </c>
      <c r="B84" s="7" t="str">
        <f t="shared" si="6"/>
        <v>mediano</v>
      </c>
      <c r="C84" s="7">
        <f>iris_data_csv!B74</f>
        <v>2.7999999999999998</v>
      </c>
      <c r="D84" s="7" t="str">
        <f t="shared" si="7"/>
        <v>chico</v>
      </c>
      <c r="E84" s="7">
        <f>iris_data_csv!C74</f>
        <v>4</v>
      </c>
      <c r="F84" s="7" t="str">
        <f t="shared" si="8"/>
        <v>mediano</v>
      </c>
      <c r="G84" s="7">
        <f>iris_data_csv!D74</f>
        <v>1.3</v>
      </c>
      <c r="H84" s="7" t="str">
        <f t="shared" si="9"/>
        <v>mediano</v>
      </c>
      <c r="I84" s="7" t="str">
        <f>iris_data_csv!E74</f>
        <v>Iris-versicolor</v>
      </c>
    </row>
    <row r="85">
      <c r="A85" s="7">
        <f>iris_data_csv!A75</f>
        <v>6.2999999999999998</v>
      </c>
      <c r="B85" s="7" t="str">
        <f t="shared" si="6"/>
        <v>mediano</v>
      </c>
      <c r="C85" s="7">
        <f>iris_data_csv!B75</f>
        <v>2.5</v>
      </c>
      <c r="D85" s="7" t="str">
        <f t="shared" si="7"/>
        <v>chico</v>
      </c>
      <c r="E85" s="7">
        <f>iris_data_csv!C75</f>
        <v>4.9000000000000004</v>
      </c>
      <c r="F85" s="7" t="str">
        <f t="shared" si="8"/>
        <v>mediano</v>
      </c>
      <c r="G85" s="7">
        <f>iris_data_csv!D75</f>
        <v>1.5</v>
      </c>
      <c r="H85" s="7" t="str">
        <f t="shared" si="9"/>
        <v>mediano</v>
      </c>
      <c r="I85" s="7" t="str">
        <f>iris_data_csv!E75</f>
        <v>Iris-versicolor</v>
      </c>
    </row>
    <row r="86">
      <c r="A86" s="7">
        <f>iris_data_csv!A76</f>
        <v>6.0999999999999996</v>
      </c>
      <c r="B86" s="7" t="str">
        <f t="shared" si="6"/>
        <v>mediano</v>
      </c>
      <c r="C86" s="7">
        <f>iris_data_csv!B76</f>
        <v>2.7999999999999998</v>
      </c>
      <c r="D86" s="7" t="str">
        <f t="shared" si="7"/>
        <v>chico</v>
      </c>
      <c r="E86" s="7">
        <f>iris_data_csv!C76</f>
        <v>4.7000000000000002</v>
      </c>
      <c r="F86" s="7" t="str">
        <f t="shared" si="8"/>
        <v>mediano</v>
      </c>
      <c r="G86" s="7">
        <f>iris_data_csv!D76</f>
        <v>1.2</v>
      </c>
      <c r="H86" s="7" t="str">
        <f t="shared" si="9"/>
        <v>mediano</v>
      </c>
      <c r="I86" s="7" t="str">
        <f>iris_data_csv!E76</f>
        <v>Iris-versicolor</v>
      </c>
    </row>
    <row r="87">
      <c r="A87" s="7">
        <f>iris_data_csv!A77</f>
        <v>6.4000000000000004</v>
      </c>
      <c r="B87" s="7" t="str">
        <f t="shared" si="6"/>
        <v>mediano</v>
      </c>
      <c r="C87" s="7">
        <f>iris_data_csv!B77</f>
        <v>2.8999999999999999</v>
      </c>
      <c r="D87" s="7" t="str">
        <f t="shared" si="7"/>
        <v>mediano</v>
      </c>
      <c r="E87" s="7">
        <f>iris_data_csv!C77</f>
        <v>4.2999999999999998</v>
      </c>
      <c r="F87" s="7" t="str">
        <f t="shared" si="8"/>
        <v>mediano</v>
      </c>
      <c r="G87" s="7">
        <f>iris_data_csv!D77</f>
        <v>1.3</v>
      </c>
      <c r="H87" s="7" t="str">
        <f t="shared" si="9"/>
        <v>mediano</v>
      </c>
      <c r="I87" s="7" t="str">
        <f>iris_data_csv!E77</f>
        <v>Iris-versicolor</v>
      </c>
    </row>
    <row r="88">
      <c r="A88" s="7">
        <f>iris_data_csv!A78</f>
        <v>6.5999999999999996</v>
      </c>
      <c r="B88" s="7" t="str">
        <f t="shared" si="6"/>
        <v>mediano</v>
      </c>
      <c r="C88" s="7">
        <f>iris_data_csv!B78</f>
        <v>3</v>
      </c>
      <c r="D88" s="7" t="str">
        <f t="shared" si="7"/>
        <v>mediano</v>
      </c>
      <c r="E88" s="7">
        <f>iris_data_csv!C78</f>
        <v>4.4000000000000004</v>
      </c>
      <c r="F88" s="7" t="str">
        <f t="shared" si="8"/>
        <v>mediano</v>
      </c>
      <c r="G88" s="7">
        <f>iris_data_csv!D78</f>
        <v>1.3999999999999999</v>
      </c>
      <c r="H88" s="7" t="str">
        <f t="shared" si="9"/>
        <v>mediano</v>
      </c>
      <c r="I88" s="7" t="str">
        <f>iris_data_csv!E78</f>
        <v>Iris-versicolor</v>
      </c>
    </row>
    <row r="89">
      <c r="A89" s="7">
        <f>iris_data_csv!A79</f>
        <v>6.7999999999999998</v>
      </c>
      <c r="B89" s="7" t="str">
        <f t="shared" si="6"/>
        <v>grande</v>
      </c>
      <c r="C89" s="7">
        <f>iris_data_csv!B79</f>
        <v>2.7999999999999998</v>
      </c>
      <c r="D89" s="7" t="str">
        <f t="shared" si="7"/>
        <v>chico</v>
      </c>
      <c r="E89" s="7">
        <f>iris_data_csv!C79</f>
        <v>4.7999999999999998</v>
      </c>
      <c r="F89" s="7" t="str">
        <f t="shared" si="8"/>
        <v>mediano</v>
      </c>
      <c r="G89" s="7">
        <f>iris_data_csv!D79</f>
        <v>1.3999999999999999</v>
      </c>
      <c r="H89" s="7" t="str">
        <f t="shared" si="9"/>
        <v>mediano</v>
      </c>
      <c r="I89" s="7" t="str">
        <f>iris_data_csv!E79</f>
        <v>Iris-versicolor</v>
      </c>
    </row>
    <row r="90">
      <c r="A90" s="7">
        <f>iris_data_csv!A80</f>
        <v>6.7000000000000002</v>
      </c>
      <c r="B90" s="7" t="str">
        <f t="shared" si="6"/>
        <v>mediano</v>
      </c>
      <c r="C90" s="7">
        <f>iris_data_csv!B80</f>
        <v>3</v>
      </c>
      <c r="D90" s="7" t="str">
        <f t="shared" si="7"/>
        <v>mediano</v>
      </c>
      <c r="E90" s="7">
        <f>iris_data_csv!C80</f>
        <v>5</v>
      </c>
      <c r="F90" s="7" t="str">
        <f t="shared" si="8"/>
        <v>grande</v>
      </c>
      <c r="G90" s="7">
        <f>iris_data_csv!D80</f>
        <v>1.7</v>
      </c>
      <c r="H90" s="7" t="str">
        <f t="shared" si="9"/>
        <v>mediano</v>
      </c>
      <c r="I90" s="7" t="str">
        <f>iris_data_csv!E80</f>
        <v>Iris-versicolor</v>
      </c>
    </row>
    <row r="91">
      <c r="A91" s="7">
        <f>iris_data_csv!A81</f>
        <v>6</v>
      </c>
      <c r="B91" s="7" t="str">
        <f t="shared" si="6"/>
        <v>mediano</v>
      </c>
      <c r="C91" s="7">
        <f>iris_data_csv!B81</f>
        <v>2.8999999999999999</v>
      </c>
      <c r="D91" s="7" t="str">
        <f t="shared" si="7"/>
        <v>mediano</v>
      </c>
      <c r="E91" s="7">
        <f>iris_data_csv!C81</f>
        <v>4.5</v>
      </c>
      <c r="F91" s="7" t="str">
        <f t="shared" si="8"/>
        <v>mediano</v>
      </c>
      <c r="G91" s="7">
        <f>iris_data_csv!D81</f>
        <v>1.5</v>
      </c>
      <c r="H91" s="7" t="str">
        <f t="shared" si="9"/>
        <v>mediano</v>
      </c>
      <c r="I91" s="7" t="str">
        <f>iris_data_csv!E81</f>
        <v>Iris-versicolor</v>
      </c>
    </row>
    <row r="92">
      <c r="A92" s="7">
        <f>iris_data_csv!A82</f>
        <v>5.7000000000000002</v>
      </c>
      <c r="B92" s="7" t="str">
        <f t="shared" si="6"/>
        <v>mediano</v>
      </c>
      <c r="C92" s="7">
        <f>iris_data_csv!B82</f>
        <v>2.6000000000000001</v>
      </c>
      <c r="D92" s="7" t="str">
        <f t="shared" si="7"/>
        <v>chico</v>
      </c>
      <c r="E92" s="7">
        <f>iris_data_csv!C82</f>
        <v>3.5</v>
      </c>
      <c r="F92" s="7" t="str">
        <f t="shared" si="8"/>
        <v>mediano</v>
      </c>
      <c r="G92" s="7">
        <f>iris_data_csv!D82</f>
        <v>1</v>
      </c>
      <c r="H92" s="7" t="str">
        <f t="shared" si="9"/>
        <v>mediano</v>
      </c>
      <c r="I92" s="7" t="str">
        <f>iris_data_csv!E82</f>
        <v>Iris-versicolor</v>
      </c>
    </row>
    <row r="93">
      <c r="A93" s="7">
        <f>iris_data_csv!A83</f>
        <v>5.5</v>
      </c>
      <c r="B93" s="7" t="str">
        <f t="shared" si="6"/>
        <v>chico</v>
      </c>
      <c r="C93" s="7">
        <f>iris_data_csv!B83</f>
        <v>2.3999999999999999</v>
      </c>
      <c r="D93" s="7" t="str">
        <f t="shared" si="7"/>
        <v>chico</v>
      </c>
      <c r="E93" s="7">
        <f>iris_data_csv!C83</f>
        <v>3.7999999999999998</v>
      </c>
      <c r="F93" s="7" t="str">
        <f t="shared" si="8"/>
        <v>mediano</v>
      </c>
      <c r="G93" s="7">
        <f>iris_data_csv!D83</f>
        <v>1.1000000000000001</v>
      </c>
      <c r="H93" s="7" t="str">
        <f t="shared" si="9"/>
        <v>mediano</v>
      </c>
      <c r="I93" s="7" t="str">
        <f>iris_data_csv!E83</f>
        <v>Iris-versicolor</v>
      </c>
    </row>
    <row r="94">
      <c r="A94" s="7">
        <f>iris_data_csv!A84</f>
        <v>5.5</v>
      </c>
      <c r="B94" s="7" t="str">
        <f t="shared" si="6"/>
        <v>chico</v>
      </c>
      <c r="C94" s="7">
        <f>iris_data_csv!B84</f>
        <v>2.3999999999999999</v>
      </c>
      <c r="D94" s="7" t="str">
        <f t="shared" si="7"/>
        <v>chico</v>
      </c>
      <c r="E94" s="7">
        <f>iris_data_csv!C84</f>
        <v>3.7000000000000002</v>
      </c>
      <c r="F94" s="7" t="str">
        <f t="shared" si="8"/>
        <v>mediano</v>
      </c>
      <c r="G94" s="7">
        <f>iris_data_csv!D84</f>
        <v>1</v>
      </c>
      <c r="H94" s="7" t="str">
        <f t="shared" si="9"/>
        <v>mediano</v>
      </c>
      <c r="I94" s="7" t="str">
        <f>iris_data_csv!E84</f>
        <v>Iris-versicolor</v>
      </c>
    </row>
    <row r="95">
      <c r="A95" s="7">
        <f>iris_data_csv!A85</f>
        <v>5.7999999999999998</v>
      </c>
      <c r="B95" s="7" t="str">
        <f t="shared" si="6"/>
        <v>mediano</v>
      </c>
      <c r="C95" s="7">
        <f>iris_data_csv!B85</f>
        <v>2.7000000000000002</v>
      </c>
      <c r="D95" s="7" t="str">
        <f t="shared" si="7"/>
        <v>chico</v>
      </c>
      <c r="E95" s="7">
        <f>iris_data_csv!C85</f>
        <v>3.8999999999999999</v>
      </c>
      <c r="F95" s="7" t="str">
        <f t="shared" si="8"/>
        <v>mediano</v>
      </c>
      <c r="G95" s="7">
        <f>iris_data_csv!D85</f>
        <v>1.2</v>
      </c>
      <c r="H95" s="7" t="str">
        <f t="shared" si="9"/>
        <v>mediano</v>
      </c>
      <c r="I95" s="7" t="str">
        <f>iris_data_csv!E85</f>
        <v>Iris-versicolor</v>
      </c>
    </row>
    <row r="96">
      <c r="A96" s="7">
        <f>iris_data_csv!A86</f>
        <v>6</v>
      </c>
      <c r="B96" s="7" t="str">
        <f t="shared" si="6"/>
        <v>mediano</v>
      </c>
      <c r="C96" s="7">
        <f>iris_data_csv!B86</f>
        <v>2.7000000000000002</v>
      </c>
      <c r="D96" s="7" t="str">
        <f t="shared" si="7"/>
        <v>chico</v>
      </c>
      <c r="E96" s="7">
        <f>iris_data_csv!C86</f>
        <v>5.0999999999999996</v>
      </c>
      <c r="F96" s="7" t="str">
        <f t="shared" si="8"/>
        <v>grande</v>
      </c>
      <c r="G96" s="7">
        <f>iris_data_csv!D86</f>
        <v>1.6000000000000001</v>
      </c>
      <c r="H96" s="7" t="str">
        <f t="shared" si="9"/>
        <v>mediano</v>
      </c>
      <c r="I96" s="7" t="str">
        <f>iris_data_csv!E86</f>
        <v>Iris-versicolor</v>
      </c>
    </row>
    <row r="97">
      <c r="A97" s="7">
        <f>iris_data_csv!A87</f>
        <v>5.4000000000000004</v>
      </c>
      <c r="B97" s="7" t="str">
        <f t="shared" si="6"/>
        <v>chico</v>
      </c>
      <c r="C97" s="7">
        <f>iris_data_csv!B87</f>
        <v>3</v>
      </c>
      <c r="D97" s="7" t="str">
        <f t="shared" si="7"/>
        <v>mediano</v>
      </c>
      <c r="E97" s="7">
        <f>iris_data_csv!C87</f>
        <v>4.5</v>
      </c>
      <c r="F97" s="7" t="str">
        <f t="shared" si="8"/>
        <v>mediano</v>
      </c>
      <c r="G97" s="7">
        <f>iris_data_csv!D87</f>
        <v>1.5</v>
      </c>
      <c r="H97" s="7" t="str">
        <f t="shared" si="9"/>
        <v>mediano</v>
      </c>
      <c r="I97" s="7" t="str">
        <f>iris_data_csv!E87</f>
        <v>Iris-versicolor</v>
      </c>
    </row>
    <row r="98">
      <c r="A98" s="7">
        <f>iris_data_csv!A88</f>
        <v>6</v>
      </c>
      <c r="B98" s="7" t="str">
        <f t="shared" si="6"/>
        <v>mediano</v>
      </c>
      <c r="C98" s="7">
        <f>iris_data_csv!B88</f>
        <v>3.3999999999999999</v>
      </c>
      <c r="D98" s="7" t="str">
        <f t="shared" si="7"/>
        <v>mediano</v>
      </c>
      <c r="E98" s="7">
        <f>iris_data_csv!C88</f>
        <v>4.5</v>
      </c>
      <c r="F98" s="7" t="str">
        <f t="shared" si="8"/>
        <v>mediano</v>
      </c>
      <c r="G98" s="7">
        <f>iris_data_csv!D88</f>
        <v>1.6000000000000001</v>
      </c>
      <c r="H98" s="7" t="str">
        <f t="shared" si="9"/>
        <v>mediano</v>
      </c>
      <c r="I98" s="7" t="str">
        <f>iris_data_csv!E88</f>
        <v>Iris-versicolor</v>
      </c>
    </row>
    <row r="99">
      <c r="A99" s="7">
        <f>iris_data_csv!A89</f>
        <v>6.7000000000000002</v>
      </c>
      <c r="B99" s="7" t="str">
        <f t="shared" si="6"/>
        <v>mediano</v>
      </c>
      <c r="C99" s="7">
        <f>iris_data_csv!B89</f>
        <v>3.1000000000000001</v>
      </c>
      <c r="D99" s="7" t="str">
        <f t="shared" si="7"/>
        <v>mediano</v>
      </c>
      <c r="E99" s="7">
        <f>iris_data_csv!C89</f>
        <v>4.7000000000000002</v>
      </c>
      <c r="F99" s="7" t="str">
        <f t="shared" si="8"/>
        <v>mediano</v>
      </c>
      <c r="G99" s="7">
        <f>iris_data_csv!D89</f>
        <v>1.5</v>
      </c>
      <c r="H99" s="7" t="str">
        <f t="shared" si="9"/>
        <v>mediano</v>
      </c>
      <c r="I99" s="7" t="str">
        <f>iris_data_csv!E89</f>
        <v>Iris-versicolor</v>
      </c>
    </row>
    <row r="100">
      <c r="A100" s="7">
        <f>iris_data_csv!A90</f>
        <v>6.2999999999999998</v>
      </c>
      <c r="B100" s="7" t="str">
        <f t="shared" si="6"/>
        <v>mediano</v>
      </c>
      <c r="C100" s="7">
        <f>iris_data_csv!B90</f>
        <v>2.2999999999999998</v>
      </c>
      <c r="D100" s="7" t="str">
        <f t="shared" si="7"/>
        <v>chico</v>
      </c>
      <c r="E100" s="7">
        <f>iris_data_csv!C90</f>
        <v>4.4000000000000004</v>
      </c>
      <c r="F100" s="7" t="str">
        <f t="shared" si="8"/>
        <v>mediano</v>
      </c>
      <c r="G100" s="7">
        <f>iris_data_csv!D90</f>
        <v>1.3</v>
      </c>
      <c r="H100" s="7" t="str">
        <f t="shared" si="9"/>
        <v>mediano</v>
      </c>
      <c r="I100" s="7" t="str">
        <f>iris_data_csv!E90</f>
        <v>Iris-versicolor</v>
      </c>
    </row>
    <row r="101">
      <c r="A101" s="7">
        <f>iris_data_csv!A91</f>
        <v>5.5999999999999996</v>
      </c>
      <c r="B101" s="7" t="str">
        <f t="shared" si="6"/>
        <v>mediano</v>
      </c>
      <c r="C101" s="7">
        <f>iris_data_csv!B91</f>
        <v>3</v>
      </c>
      <c r="D101" s="7" t="str">
        <f t="shared" si="7"/>
        <v>mediano</v>
      </c>
      <c r="E101" s="7">
        <f>iris_data_csv!C91</f>
        <v>4.0999999999999996</v>
      </c>
      <c r="F101" s="7" t="str">
        <f t="shared" si="8"/>
        <v>mediano</v>
      </c>
      <c r="G101" s="7">
        <f>iris_data_csv!D91</f>
        <v>1.3</v>
      </c>
      <c r="H101" s="7" t="str">
        <f t="shared" si="9"/>
        <v>mediano</v>
      </c>
      <c r="I101" s="7" t="str">
        <f>iris_data_csv!E91</f>
        <v>Iris-versicolor</v>
      </c>
    </row>
    <row r="102">
      <c r="A102" s="7">
        <f>iris_data_csv!A92</f>
        <v>5.5</v>
      </c>
      <c r="B102" s="7" t="str">
        <f t="shared" si="6"/>
        <v>chico</v>
      </c>
      <c r="C102" s="7">
        <f>iris_data_csv!B92</f>
        <v>2.5</v>
      </c>
      <c r="D102" s="7" t="str">
        <f t="shared" si="7"/>
        <v>chico</v>
      </c>
      <c r="E102" s="7">
        <f>iris_data_csv!C92</f>
        <v>4</v>
      </c>
      <c r="F102" s="7" t="str">
        <f t="shared" si="8"/>
        <v>mediano</v>
      </c>
      <c r="G102" s="7">
        <f>iris_data_csv!D92</f>
        <v>1.3</v>
      </c>
      <c r="H102" s="7" t="str">
        <f t="shared" si="9"/>
        <v>mediano</v>
      </c>
      <c r="I102" s="7" t="str">
        <f>iris_data_csv!E92</f>
        <v>Iris-versicolor</v>
      </c>
    </row>
    <row r="103">
      <c r="A103" s="7">
        <f>iris_data_csv!A93</f>
        <v>5.5</v>
      </c>
      <c r="B103" s="7" t="str">
        <f t="shared" si="6"/>
        <v>chico</v>
      </c>
      <c r="C103" s="7">
        <f>iris_data_csv!B93</f>
        <v>2.6000000000000001</v>
      </c>
      <c r="D103" s="7" t="str">
        <f t="shared" si="7"/>
        <v>chico</v>
      </c>
      <c r="E103" s="7">
        <f>iris_data_csv!C93</f>
        <v>4.4000000000000004</v>
      </c>
      <c r="F103" s="7" t="str">
        <f t="shared" si="8"/>
        <v>mediano</v>
      </c>
      <c r="G103" s="7">
        <f>iris_data_csv!D93</f>
        <v>1.2</v>
      </c>
      <c r="H103" s="7" t="str">
        <f t="shared" si="9"/>
        <v>mediano</v>
      </c>
      <c r="I103" s="7" t="str">
        <f>iris_data_csv!E93</f>
        <v>Iris-versicolor</v>
      </c>
    </row>
    <row r="104">
      <c r="A104" s="7">
        <f>iris_data_csv!A94</f>
        <v>6.0999999999999996</v>
      </c>
      <c r="B104" s="7" t="str">
        <f t="shared" si="6"/>
        <v>mediano</v>
      </c>
      <c r="C104" s="7">
        <f>iris_data_csv!B94</f>
        <v>3</v>
      </c>
      <c r="D104" s="7" t="str">
        <f t="shared" si="7"/>
        <v>mediano</v>
      </c>
      <c r="E104" s="7">
        <f>iris_data_csv!C94</f>
        <v>4.5999999999999996</v>
      </c>
      <c r="F104" s="7" t="str">
        <f t="shared" si="8"/>
        <v>mediano</v>
      </c>
      <c r="G104" s="7">
        <f>iris_data_csv!D94</f>
        <v>1.3999999999999999</v>
      </c>
      <c r="H104" s="7" t="str">
        <f t="shared" si="9"/>
        <v>mediano</v>
      </c>
      <c r="I104" s="7" t="str">
        <f>iris_data_csv!E94</f>
        <v>Iris-versicolor</v>
      </c>
    </row>
    <row r="105">
      <c r="A105" s="7">
        <f>iris_data_csv!A95</f>
        <v>5.7999999999999998</v>
      </c>
      <c r="B105" s="7" t="str">
        <f t="shared" si="6"/>
        <v>mediano</v>
      </c>
      <c r="C105" s="7">
        <f>iris_data_csv!B95</f>
        <v>2.6000000000000001</v>
      </c>
      <c r="D105" s="7" t="str">
        <f t="shared" si="7"/>
        <v>chico</v>
      </c>
      <c r="E105" s="7">
        <f>iris_data_csv!C95</f>
        <v>4</v>
      </c>
      <c r="F105" s="7" t="str">
        <f t="shared" si="8"/>
        <v>mediano</v>
      </c>
      <c r="G105" s="7">
        <f>iris_data_csv!D95</f>
        <v>1.2</v>
      </c>
      <c r="H105" s="7" t="str">
        <f t="shared" si="9"/>
        <v>mediano</v>
      </c>
      <c r="I105" s="7" t="str">
        <f>iris_data_csv!E95</f>
        <v>Iris-versicolor</v>
      </c>
    </row>
    <row r="106">
      <c r="A106" s="7">
        <f>iris_data_csv!A96</f>
        <v>5</v>
      </c>
      <c r="B106" s="7" t="str">
        <f t="shared" si="6"/>
        <v>chico</v>
      </c>
      <c r="C106" s="7">
        <f>iris_data_csv!B96</f>
        <v>2.2999999999999998</v>
      </c>
      <c r="D106" s="7" t="str">
        <f t="shared" si="7"/>
        <v>chico</v>
      </c>
      <c r="E106" s="7">
        <f>iris_data_csv!C96</f>
        <v>3.2999999999999998</v>
      </c>
      <c r="F106" s="7" t="str">
        <f t="shared" si="8"/>
        <v>mediano</v>
      </c>
      <c r="G106" s="7">
        <f>iris_data_csv!D96</f>
        <v>1</v>
      </c>
      <c r="H106" s="7" t="str">
        <f t="shared" si="9"/>
        <v>mediano</v>
      </c>
      <c r="I106" s="7" t="str">
        <f>iris_data_csv!E96</f>
        <v>Iris-versicolor</v>
      </c>
    </row>
    <row r="107">
      <c r="A107" s="7">
        <f>iris_data_csv!A97</f>
        <v>5.5999999999999996</v>
      </c>
      <c r="B107" s="7" t="str">
        <f t="shared" si="6"/>
        <v>mediano</v>
      </c>
      <c r="C107" s="7">
        <f>iris_data_csv!B97</f>
        <v>2.7000000000000002</v>
      </c>
      <c r="D107" s="7" t="str">
        <f t="shared" si="7"/>
        <v>chico</v>
      </c>
      <c r="E107" s="7">
        <f>iris_data_csv!C97</f>
        <v>4.2000000000000002</v>
      </c>
      <c r="F107" s="7" t="str">
        <f t="shared" si="8"/>
        <v>mediano</v>
      </c>
      <c r="G107" s="7">
        <f>iris_data_csv!D97</f>
        <v>1.3</v>
      </c>
      <c r="H107" s="7" t="str">
        <f t="shared" si="9"/>
        <v>mediano</v>
      </c>
      <c r="I107" s="7" t="str">
        <f>iris_data_csv!E97</f>
        <v>Iris-versicolor</v>
      </c>
    </row>
    <row r="108">
      <c r="A108" s="7">
        <f>iris_data_csv!A98</f>
        <v>5.7000000000000002</v>
      </c>
      <c r="B108" s="7" t="str">
        <f t="shared" si="6"/>
        <v>mediano</v>
      </c>
      <c r="C108" s="7">
        <f>iris_data_csv!B98</f>
        <v>3</v>
      </c>
      <c r="D108" s="7" t="str">
        <f t="shared" si="7"/>
        <v>mediano</v>
      </c>
      <c r="E108" s="7">
        <f>iris_data_csv!C98</f>
        <v>4.2000000000000002</v>
      </c>
      <c r="F108" s="7" t="str">
        <f t="shared" si="8"/>
        <v>mediano</v>
      </c>
      <c r="G108" s="7">
        <f>iris_data_csv!D98</f>
        <v>1.2</v>
      </c>
      <c r="H108" s="7" t="str">
        <f t="shared" si="9"/>
        <v>mediano</v>
      </c>
      <c r="I108" s="7" t="str">
        <f>iris_data_csv!E98</f>
        <v>Iris-versicolor</v>
      </c>
    </row>
    <row r="109">
      <c r="A109" s="7">
        <f>iris_data_csv!A99</f>
        <v>5.7000000000000002</v>
      </c>
      <c r="B109" s="7" t="str">
        <f t="shared" ref="B109:B162" si="10">IF(A109&lt;=$D$6,"chico",IF(A109&lt;=$E$6,"mediano","grande"))</f>
        <v>mediano</v>
      </c>
      <c r="C109" s="7">
        <f>iris_data_csv!B99</f>
        <v>2.8999999999999999</v>
      </c>
      <c r="D109" s="7" t="str">
        <f t="shared" ref="D109:D162" si="11">IF(C109&lt;=$D$7,"chico",IF(C109&lt;=$E$7,"mediano","grande"))</f>
        <v>mediano</v>
      </c>
      <c r="E109" s="7">
        <f>iris_data_csv!C99</f>
        <v>4.2000000000000002</v>
      </c>
      <c r="F109" s="7" t="str">
        <f t="shared" ref="F109:F162" si="12">IF(E109&lt;=$D$8,"chico",IF(E109&lt;=$E$8,"mediano","grande"))</f>
        <v>mediano</v>
      </c>
      <c r="G109" s="7">
        <f>iris_data_csv!D99</f>
        <v>1.3</v>
      </c>
      <c r="H109" s="7" t="str">
        <f t="shared" ref="H109:H162" si="13">IF(G109&lt;=$D$9,"chico",IF(G109&lt;=$E$9,"mediano","grande"))</f>
        <v>mediano</v>
      </c>
      <c r="I109" s="7" t="str">
        <f>iris_data_csv!E99</f>
        <v>Iris-versicolor</v>
      </c>
    </row>
    <row r="110">
      <c r="A110" s="7">
        <f>iris_data_csv!A100</f>
        <v>6.2000000000000002</v>
      </c>
      <c r="B110" s="7" t="str">
        <f t="shared" si="10"/>
        <v>mediano</v>
      </c>
      <c r="C110" s="7">
        <f>iris_data_csv!B100</f>
        <v>2.8999999999999999</v>
      </c>
      <c r="D110" s="7" t="str">
        <f t="shared" si="11"/>
        <v>mediano</v>
      </c>
      <c r="E110" s="7">
        <f>iris_data_csv!C100</f>
        <v>4.2999999999999998</v>
      </c>
      <c r="F110" s="7" t="str">
        <f t="shared" si="12"/>
        <v>mediano</v>
      </c>
      <c r="G110" s="7">
        <f>iris_data_csv!D100</f>
        <v>1.3</v>
      </c>
      <c r="H110" s="7" t="str">
        <f t="shared" si="13"/>
        <v>mediano</v>
      </c>
      <c r="I110" s="7" t="str">
        <f>iris_data_csv!E100</f>
        <v>Iris-versicolor</v>
      </c>
    </row>
    <row r="111">
      <c r="A111" s="7">
        <f>iris_data_csv!A101</f>
        <v>5.0999999999999996</v>
      </c>
      <c r="B111" s="7" t="str">
        <f t="shared" si="10"/>
        <v>chico</v>
      </c>
      <c r="C111" s="7">
        <f>iris_data_csv!B101</f>
        <v>2.5</v>
      </c>
      <c r="D111" s="7" t="str">
        <f t="shared" si="11"/>
        <v>chico</v>
      </c>
      <c r="E111" s="7">
        <f>iris_data_csv!C101</f>
        <v>3</v>
      </c>
      <c r="F111" s="7" t="str">
        <f t="shared" si="12"/>
        <v>mediano</v>
      </c>
      <c r="G111" s="7">
        <f>iris_data_csv!D101</f>
        <v>1.1000000000000001</v>
      </c>
      <c r="H111" s="7" t="str">
        <f t="shared" si="13"/>
        <v>mediano</v>
      </c>
      <c r="I111" s="7" t="str">
        <f>iris_data_csv!E101</f>
        <v>Iris-versicolor</v>
      </c>
    </row>
    <row r="112">
      <c r="A112" s="7">
        <f>iris_data_csv!A102</f>
        <v>5.7000000000000002</v>
      </c>
      <c r="B112" s="7" t="str">
        <f t="shared" si="10"/>
        <v>mediano</v>
      </c>
      <c r="C112" s="7">
        <f>iris_data_csv!B102</f>
        <v>2.7999999999999998</v>
      </c>
      <c r="D112" s="7" t="str">
        <f t="shared" si="11"/>
        <v>chico</v>
      </c>
      <c r="E112" s="7">
        <f>iris_data_csv!C102</f>
        <v>4.0999999999999996</v>
      </c>
      <c r="F112" s="7" t="str">
        <f t="shared" si="12"/>
        <v>mediano</v>
      </c>
      <c r="G112" s="7">
        <f>iris_data_csv!D102</f>
        <v>1.3</v>
      </c>
      <c r="H112" s="7" t="str">
        <f t="shared" si="13"/>
        <v>mediano</v>
      </c>
      <c r="I112" s="7" t="str">
        <f>iris_data_csv!E102</f>
        <v>Iris-versicolor</v>
      </c>
    </row>
    <row r="113">
      <c r="A113" s="7">
        <f>iris_data_csv!A103</f>
        <v>6.2999999999999998</v>
      </c>
      <c r="B113" s="7" t="str">
        <f t="shared" si="10"/>
        <v>mediano</v>
      </c>
      <c r="C113" s="7">
        <f>iris_data_csv!B103</f>
        <v>3.2999999999999998</v>
      </c>
      <c r="D113" s="7" t="str">
        <f t="shared" si="11"/>
        <v>mediano</v>
      </c>
      <c r="E113" s="7">
        <f>iris_data_csv!C103</f>
        <v>6</v>
      </c>
      <c r="F113" s="7" t="str">
        <f t="shared" si="12"/>
        <v>grande</v>
      </c>
      <c r="G113" s="7">
        <f>iris_data_csv!D103</f>
        <v>2.5</v>
      </c>
      <c r="H113" s="7" t="str">
        <f t="shared" si="13"/>
        <v>grande</v>
      </c>
      <c r="I113" s="7" t="str">
        <f>iris_data_csv!E103</f>
        <v>Iris-virginica</v>
      </c>
    </row>
    <row r="114">
      <c r="A114" s="7">
        <f>iris_data_csv!A104</f>
        <v>5.7999999999999998</v>
      </c>
      <c r="B114" s="7" t="str">
        <f t="shared" si="10"/>
        <v>mediano</v>
      </c>
      <c r="C114" s="7">
        <f>iris_data_csv!B104</f>
        <v>2.7000000000000002</v>
      </c>
      <c r="D114" s="7" t="str">
        <f t="shared" si="11"/>
        <v>chico</v>
      </c>
      <c r="E114" s="7">
        <f>iris_data_csv!C104</f>
        <v>5.0999999999999996</v>
      </c>
      <c r="F114" s="7" t="str">
        <f t="shared" si="12"/>
        <v>grande</v>
      </c>
      <c r="G114" s="7">
        <f>iris_data_csv!D104</f>
        <v>1.8999999999999999</v>
      </c>
      <c r="H114" s="7" t="str">
        <f t="shared" si="13"/>
        <v>grande</v>
      </c>
      <c r="I114" s="7" t="str">
        <f>iris_data_csv!E104</f>
        <v>Iris-virginica</v>
      </c>
    </row>
    <row r="115">
      <c r="A115" s="7">
        <f>iris_data_csv!A105</f>
        <v>7.0999999999999996</v>
      </c>
      <c r="B115" s="7" t="str">
        <f t="shared" si="10"/>
        <v>grande</v>
      </c>
      <c r="C115" s="7">
        <f>iris_data_csv!B105</f>
        <v>3</v>
      </c>
      <c r="D115" s="7" t="str">
        <f t="shared" si="11"/>
        <v>mediano</v>
      </c>
      <c r="E115" s="7">
        <f>iris_data_csv!C105</f>
        <v>5.9000000000000004</v>
      </c>
      <c r="F115" s="7" t="str">
        <f t="shared" si="12"/>
        <v>grande</v>
      </c>
      <c r="G115" s="7">
        <f>iris_data_csv!D105</f>
        <v>2.1000000000000001</v>
      </c>
      <c r="H115" s="7" t="str">
        <f t="shared" si="13"/>
        <v>grande</v>
      </c>
      <c r="I115" s="7" t="str">
        <f>iris_data_csv!E105</f>
        <v>Iris-virginica</v>
      </c>
    </row>
    <row r="116">
      <c r="A116" s="7">
        <f>iris_data_csv!A106</f>
        <v>6.2999999999999998</v>
      </c>
      <c r="B116" s="7" t="str">
        <f t="shared" si="10"/>
        <v>mediano</v>
      </c>
      <c r="C116" s="7">
        <f>iris_data_csv!B106</f>
        <v>2.8999999999999999</v>
      </c>
      <c r="D116" s="7" t="str">
        <f t="shared" si="11"/>
        <v>mediano</v>
      </c>
      <c r="E116" s="7">
        <f>iris_data_csv!C106</f>
        <v>5.5999999999999996</v>
      </c>
      <c r="F116" s="7" t="str">
        <f t="shared" si="12"/>
        <v>grande</v>
      </c>
      <c r="G116" s="7">
        <f>iris_data_csv!D106</f>
        <v>1.8</v>
      </c>
      <c r="H116" s="7" t="str">
        <f t="shared" si="13"/>
        <v>grande</v>
      </c>
      <c r="I116" s="7" t="str">
        <f>iris_data_csv!E106</f>
        <v>Iris-virginica</v>
      </c>
    </row>
    <row r="117">
      <c r="A117" s="7">
        <f>iris_data_csv!A107</f>
        <v>6.5</v>
      </c>
      <c r="B117" s="7" t="str">
        <f t="shared" si="10"/>
        <v>mediano</v>
      </c>
      <c r="C117" s="7">
        <f>iris_data_csv!B107</f>
        <v>3</v>
      </c>
      <c r="D117" s="7" t="str">
        <f t="shared" si="11"/>
        <v>mediano</v>
      </c>
      <c r="E117" s="7">
        <f>iris_data_csv!C107</f>
        <v>5.7999999999999998</v>
      </c>
      <c r="F117" s="7" t="str">
        <f t="shared" si="12"/>
        <v>grande</v>
      </c>
      <c r="G117" s="7">
        <f>iris_data_csv!D107</f>
        <v>2.2000000000000002</v>
      </c>
      <c r="H117" s="7" t="str">
        <f t="shared" si="13"/>
        <v>grande</v>
      </c>
      <c r="I117" s="7" t="str">
        <f>iris_data_csv!E107</f>
        <v>Iris-virginica</v>
      </c>
    </row>
    <row r="118">
      <c r="A118" s="7">
        <f>iris_data_csv!A108</f>
        <v>7.5999999999999996</v>
      </c>
      <c r="B118" s="7" t="str">
        <f t="shared" si="10"/>
        <v>grande</v>
      </c>
      <c r="C118" s="7">
        <f>iris_data_csv!B108</f>
        <v>3</v>
      </c>
      <c r="D118" s="7" t="str">
        <f t="shared" si="11"/>
        <v>mediano</v>
      </c>
      <c r="E118" s="7">
        <f>iris_data_csv!C108</f>
        <v>6.5999999999999996</v>
      </c>
      <c r="F118" s="7" t="str">
        <f t="shared" si="12"/>
        <v>grande</v>
      </c>
      <c r="G118" s="7">
        <f>iris_data_csv!D108</f>
        <v>2.1000000000000001</v>
      </c>
      <c r="H118" s="7" t="str">
        <f t="shared" si="13"/>
        <v>grande</v>
      </c>
      <c r="I118" s="7" t="str">
        <f>iris_data_csv!E108</f>
        <v>Iris-virginica</v>
      </c>
    </row>
    <row r="119">
      <c r="A119" s="7">
        <f>iris_data_csv!A109</f>
        <v>4.9000000000000004</v>
      </c>
      <c r="B119" s="7" t="str">
        <f t="shared" si="10"/>
        <v>chico</v>
      </c>
      <c r="C119" s="7">
        <f>iris_data_csv!B109</f>
        <v>2.5</v>
      </c>
      <c r="D119" s="7" t="str">
        <f t="shared" si="11"/>
        <v>chico</v>
      </c>
      <c r="E119" s="7">
        <f>iris_data_csv!C109</f>
        <v>4.5</v>
      </c>
      <c r="F119" s="7" t="str">
        <f t="shared" si="12"/>
        <v>mediano</v>
      </c>
      <c r="G119" s="7">
        <f>iris_data_csv!D109</f>
        <v>1.7</v>
      </c>
      <c r="H119" s="7" t="str">
        <f t="shared" si="13"/>
        <v>mediano</v>
      </c>
      <c r="I119" s="7" t="str">
        <f>iris_data_csv!E109</f>
        <v>Iris-virginica</v>
      </c>
    </row>
    <row r="120">
      <c r="A120" s="7">
        <f>iris_data_csv!A110</f>
        <v>7.2999999999999998</v>
      </c>
      <c r="B120" s="7" t="str">
        <f t="shared" si="10"/>
        <v>grande</v>
      </c>
      <c r="C120" s="7">
        <f>iris_data_csv!B110</f>
        <v>2.8999999999999999</v>
      </c>
      <c r="D120" s="7" t="str">
        <f t="shared" si="11"/>
        <v>mediano</v>
      </c>
      <c r="E120" s="7">
        <f>iris_data_csv!C110</f>
        <v>6.2999999999999998</v>
      </c>
      <c r="F120" s="7" t="str">
        <f t="shared" si="12"/>
        <v>grande</v>
      </c>
      <c r="G120" s="7">
        <f>iris_data_csv!D110</f>
        <v>1.8</v>
      </c>
      <c r="H120" s="7" t="str">
        <f t="shared" si="13"/>
        <v>grande</v>
      </c>
      <c r="I120" s="7" t="str">
        <f>iris_data_csv!E110</f>
        <v>Iris-virginica</v>
      </c>
    </row>
    <row r="121">
      <c r="A121" s="7">
        <f>iris_data_csv!A111</f>
        <v>6.7000000000000002</v>
      </c>
      <c r="B121" s="7" t="str">
        <f t="shared" si="10"/>
        <v>mediano</v>
      </c>
      <c r="C121" s="7">
        <f>iris_data_csv!B111</f>
        <v>2.5</v>
      </c>
      <c r="D121" s="7" t="str">
        <f t="shared" si="11"/>
        <v>chico</v>
      </c>
      <c r="E121" s="7">
        <f>iris_data_csv!C111</f>
        <v>5.7999999999999998</v>
      </c>
      <c r="F121" s="7" t="str">
        <f t="shared" si="12"/>
        <v>grande</v>
      </c>
      <c r="G121" s="7">
        <f>iris_data_csv!D111</f>
        <v>1.8</v>
      </c>
      <c r="H121" s="7" t="str">
        <f t="shared" si="13"/>
        <v>grande</v>
      </c>
      <c r="I121" s="7" t="str">
        <f>iris_data_csv!E111</f>
        <v>Iris-virginica</v>
      </c>
    </row>
    <row r="122">
      <c r="A122" s="7">
        <f>iris_data_csv!A112</f>
        <v>7.2000000000000002</v>
      </c>
      <c r="B122" s="7" t="str">
        <f t="shared" si="10"/>
        <v>grande</v>
      </c>
      <c r="C122" s="7">
        <f>iris_data_csv!B112</f>
        <v>3.6000000000000001</v>
      </c>
      <c r="D122" s="7" t="str">
        <f t="shared" si="11"/>
        <v>mediano</v>
      </c>
      <c r="E122" s="7">
        <f>iris_data_csv!C112</f>
        <v>6.0999999999999996</v>
      </c>
      <c r="F122" s="7" t="str">
        <f t="shared" si="12"/>
        <v>grande</v>
      </c>
      <c r="G122" s="7">
        <f>iris_data_csv!D112</f>
        <v>2.5</v>
      </c>
      <c r="H122" s="7" t="str">
        <f t="shared" si="13"/>
        <v>grande</v>
      </c>
      <c r="I122" s="7" t="str">
        <f>iris_data_csv!E112</f>
        <v>Iris-virginica</v>
      </c>
    </row>
    <row r="123">
      <c r="A123" s="7">
        <f>iris_data_csv!A113</f>
        <v>6.5</v>
      </c>
      <c r="B123" s="7" t="str">
        <f t="shared" si="10"/>
        <v>mediano</v>
      </c>
      <c r="C123" s="7">
        <f>iris_data_csv!B113</f>
        <v>3.2000000000000002</v>
      </c>
      <c r="D123" s="7" t="str">
        <f t="shared" si="11"/>
        <v>mediano</v>
      </c>
      <c r="E123" s="7">
        <f>iris_data_csv!C113</f>
        <v>5.0999999999999996</v>
      </c>
      <c r="F123" s="7" t="str">
        <f t="shared" si="12"/>
        <v>grande</v>
      </c>
      <c r="G123" s="7">
        <f>iris_data_csv!D113</f>
        <v>2</v>
      </c>
      <c r="H123" s="7" t="str">
        <f t="shared" si="13"/>
        <v>grande</v>
      </c>
      <c r="I123" s="7" t="str">
        <f>iris_data_csv!E113</f>
        <v>Iris-virginica</v>
      </c>
    </row>
    <row r="124">
      <c r="A124" s="7">
        <f>iris_data_csv!A114</f>
        <v>6.4000000000000004</v>
      </c>
      <c r="B124" s="7" t="str">
        <f t="shared" si="10"/>
        <v>mediano</v>
      </c>
      <c r="C124" s="7">
        <f>iris_data_csv!B114</f>
        <v>2.7000000000000002</v>
      </c>
      <c r="D124" s="7" t="str">
        <f t="shared" si="11"/>
        <v>chico</v>
      </c>
      <c r="E124" s="7">
        <f>iris_data_csv!C114</f>
        <v>5.2999999999999998</v>
      </c>
      <c r="F124" s="7" t="str">
        <f t="shared" si="12"/>
        <v>grande</v>
      </c>
      <c r="G124" s="7">
        <f>iris_data_csv!D114</f>
        <v>1.8999999999999999</v>
      </c>
      <c r="H124" s="7" t="str">
        <f t="shared" si="13"/>
        <v>grande</v>
      </c>
      <c r="I124" s="7" t="str">
        <f>iris_data_csv!E114</f>
        <v>Iris-virginica</v>
      </c>
    </row>
    <row r="125">
      <c r="A125" s="7">
        <f>iris_data_csv!A115</f>
        <v>6.7999999999999998</v>
      </c>
      <c r="B125" s="7" t="str">
        <f t="shared" si="10"/>
        <v>grande</v>
      </c>
      <c r="C125" s="7">
        <f>iris_data_csv!B115</f>
        <v>3</v>
      </c>
      <c r="D125" s="7" t="str">
        <f t="shared" si="11"/>
        <v>mediano</v>
      </c>
      <c r="E125" s="7">
        <f>iris_data_csv!C115</f>
        <v>5.5</v>
      </c>
      <c r="F125" s="7" t="str">
        <f t="shared" si="12"/>
        <v>grande</v>
      </c>
      <c r="G125" s="7">
        <f>iris_data_csv!D115</f>
        <v>2.1000000000000001</v>
      </c>
      <c r="H125" s="7" t="str">
        <f t="shared" si="13"/>
        <v>grande</v>
      </c>
      <c r="I125" s="7" t="str">
        <f>iris_data_csv!E115</f>
        <v>Iris-virginica</v>
      </c>
    </row>
    <row r="126">
      <c r="A126" s="7">
        <f>iris_data_csv!A116</f>
        <v>5.7000000000000002</v>
      </c>
      <c r="B126" s="7" t="str">
        <f t="shared" si="10"/>
        <v>mediano</v>
      </c>
      <c r="C126" s="7">
        <f>iris_data_csv!B116</f>
        <v>2.5</v>
      </c>
      <c r="D126" s="7" t="str">
        <f t="shared" si="11"/>
        <v>chico</v>
      </c>
      <c r="E126" s="7">
        <f>iris_data_csv!C116</f>
        <v>5</v>
      </c>
      <c r="F126" s="7" t="str">
        <f t="shared" si="12"/>
        <v>grande</v>
      </c>
      <c r="G126" s="7">
        <f>iris_data_csv!D116</f>
        <v>2</v>
      </c>
      <c r="H126" s="7" t="str">
        <f t="shared" si="13"/>
        <v>grande</v>
      </c>
      <c r="I126" s="7" t="str">
        <f>iris_data_csv!E116</f>
        <v>Iris-virginica</v>
      </c>
    </row>
    <row r="127">
      <c r="A127" s="7">
        <f>iris_data_csv!A117</f>
        <v>5.7999999999999998</v>
      </c>
      <c r="B127" s="7" t="str">
        <f t="shared" si="10"/>
        <v>mediano</v>
      </c>
      <c r="C127" s="7">
        <f>iris_data_csv!B117</f>
        <v>2.7999999999999998</v>
      </c>
      <c r="D127" s="7" t="str">
        <f t="shared" si="11"/>
        <v>chico</v>
      </c>
      <c r="E127" s="7">
        <f>iris_data_csv!C117</f>
        <v>5.0999999999999996</v>
      </c>
      <c r="F127" s="7" t="str">
        <f t="shared" si="12"/>
        <v>grande</v>
      </c>
      <c r="G127" s="7">
        <f>iris_data_csv!D117</f>
        <v>2.3999999999999999</v>
      </c>
      <c r="H127" s="7" t="str">
        <f t="shared" si="13"/>
        <v>grande</v>
      </c>
      <c r="I127" s="7" t="str">
        <f>iris_data_csv!E117</f>
        <v>Iris-virginica</v>
      </c>
    </row>
    <row r="128">
      <c r="A128" s="7">
        <f>iris_data_csv!A118</f>
        <v>6.4000000000000004</v>
      </c>
      <c r="B128" s="7" t="str">
        <f t="shared" si="10"/>
        <v>mediano</v>
      </c>
      <c r="C128" s="7">
        <f>iris_data_csv!B118</f>
        <v>3.2000000000000002</v>
      </c>
      <c r="D128" s="7" t="str">
        <f t="shared" si="11"/>
        <v>mediano</v>
      </c>
      <c r="E128" s="7">
        <f>iris_data_csv!C118</f>
        <v>5.2999999999999998</v>
      </c>
      <c r="F128" s="7" t="str">
        <f t="shared" si="12"/>
        <v>grande</v>
      </c>
      <c r="G128" s="7">
        <f>iris_data_csv!D118</f>
        <v>2.2999999999999998</v>
      </c>
      <c r="H128" s="7" t="str">
        <f t="shared" si="13"/>
        <v>grande</v>
      </c>
      <c r="I128" s="7" t="str">
        <f>iris_data_csv!E118</f>
        <v>Iris-virginica</v>
      </c>
    </row>
    <row r="129">
      <c r="A129" s="7">
        <f>iris_data_csv!A119</f>
        <v>6.5</v>
      </c>
      <c r="B129" s="7" t="str">
        <f t="shared" si="10"/>
        <v>mediano</v>
      </c>
      <c r="C129" s="7">
        <f>iris_data_csv!B119</f>
        <v>3</v>
      </c>
      <c r="D129" s="7" t="str">
        <f t="shared" si="11"/>
        <v>mediano</v>
      </c>
      <c r="E129" s="7">
        <f>iris_data_csv!C119</f>
        <v>5.5</v>
      </c>
      <c r="F129" s="7" t="str">
        <f t="shared" si="12"/>
        <v>grande</v>
      </c>
      <c r="G129" s="7">
        <f>iris_data_csv!D119</f>
        <v>1.8</v>
      </c>
      <c r="H129" s="7" t="str">
        <f t="shared" si="13"/>
        <v>grande</v>
      </c>
      <c r="I129" s="7" t="str">
        <f>iris_data_csv!E119</f>
        <v>Iris-virginica</v>
      </c>
    </row>
    <row r="130">
      <c r="A130" s="7">
        <f>iris_data_csv!A120</f>
        <v>7.7000000000000002</v>
      </c>
      <c r="B130" s="7" t="str">
        <f t="shared" si="10"/>
        <v>grande</v>
      </c>
      <c r="C130" s="7">
        <f>iris_data_csv!B120</f>
        <v>3.7999999999999998</v>
      </c>
      <c r="D130" s="7" t="str">
        <f t="shared" si="11"/>
        <v>grande</v>
      </c>
      <c r="E130" s="7">
        <f>iris_data_csv!C120</f>
        <v>6.7000000000000002</v>
      </c>
      <c r="F130" s="7" t="str">
        <f t="shared" si="12"/>
        <v>grande</v>
      </c>
      <c r="G130" s="7">
        <f>iris_data_csv!D120</f>
        <v>2.2000000000000002</v>
      </c>
      <c r="H130" s="7" t="str">
        <f t="shared" si="13"/>
        <v>grande</v>
      </c>
      <c r="I130" s="7" t="str">
        <f>iris_data_csv!E120</f>
        <v>Iris-virginica</v>
      </c>
    </row>
    <row r="131">
      <c r="A131" s="7">
        <f>iris_data_csv!A121</f>
        <v>7.7000000000000002</v>
      </c>
      <c r="B131" s="7" t="str">
        <f t="shared" si="10"/>
        <v>grande</v>
      </c>
      <c r="C131" s="7">
        <f>iris_data_csv!B121</f>
        <v>2.6000000000000001</v>
      </c>
      <c r="D131" s="7" t="str">
        <f t="shared" si="11"/>
        <v>chico</v>
      </c>
      <c r="E131" s="7">
        <f>iris_data_csv!C121</f>
        <v>6.9000000000000004</v>
      </c>
      <c r="F131" s="7" t="str">
        <f t="shared" si="12"/>
        <v>grande</v>
      </c>
      <c r="G131" s="7">
        <f>iris_data_csv!D121</f>
        <v>2.2999999999999998</v>
      </c>
      <c r="H131" s="7" t="str">
        <f t="shared" si="13"/>
        <v>grande</v>
      </c>
      <c r="I131" s="7" t="str">
        <f>iris_data_csv!E121</f>
        <v>Iris-virginica</v>
      </c>
    </row>
    <row r="132">
      <c r="A132" s="7">
        <f>iris_data_csv!A122</f>
        <v>6</v>
      </c>
      <c r="B132" s="7" t="str">
        <f t="shared" si="10"/>
        <v>mediano</v>
      </c>
      <c r="C132" s="7">
        <f>iris_data_csv!B122</f>
        <v>2.2000000000000002</v>
      </c>
      <c r="D132" s="7" t="str">
        <f t="shared" si="11"/>
        <v>chico</v>
      </c>
      <c r="E132" s="7">
        <f>iris_data_csv!C122</f>
        <v>5</v>
      </c>
      <c r="F132" s="7" t="str">
        <f t="shared" si="12"/>
        <v>grande</v>
      </c>
      <c r="G132" s="7">
        <f>iris_data_csv!D122</f>
        <v>1.5</v>
      </c>
      <c r="H132" s="7" t="str">
        <f t="shared" si="13"/>
        <v>mediano</v>
      </c>
      <c r="I132" s="7" t="str">
        <f>iris_data_csv!E122</f>
        <v>Iris-virginica</v>
      </c>
    </row>
    <row r="133">
      <c r="A133" s="7">
        <f>iris_data_csv!A123</f>
        <v>6.9000000000000004</v>
      </c>
      <c r="B133" s="7" t="str">
        <f t="shared" si="10"/>
        <v>grande</v>
      </c>
      <c r="C133" s="7">
        <f>iris_data_csv!B123</f>
        <v>3.2000000000000002</v>
      </c>
      <c r="D133" s="7" t="str">
        <f t="shared" si="11"/>
        <v>mediano</v>
      </c>
      <c r="E133" s="7">
        <f>iris_data_csv!C123</f>
        <v>5.7000000000000002</v>
      </c>
      <c r="F133" s="7" t="str">
        <f t="shared" si="12"/>
        <v>grande</v>
      </c>
      <c r="G133" s="7">
        <f>iris_data_csv!D123</f>
        <v>2.2999999999999998</v>
      </c>
      <c r="H133" s="7" t="str">
        <f t="shared" si="13"/>
        <v>grande</v>
      </c>
      <c r="I133" s="7" t="str">
        <f>iris_data_csv!E123</f>
        <v>Iris-virginica</v>
      </c>
    </row>
    <row r="134">
      <c r="A134" s="7">
        <f>iris_data_csv!A124</f>
        <v>5.5999999999999996</v>
      </c>
      <c r="B134" s="7" t="str">
        <f t="shared" si="10"/>
        <v>mediano</v>
      </c>
      <c r="C134" s="7">
        <f>iris_data_csv!B124</f>
        <v>2.7999999999999998</v>
      </c>
      <c r="D134" s="7" t="str">
        <f t="shared" si="11"/>
        <v>chico</v>
      </c>
      <c r="E134" s="7">
        <f>iris_data_csv!C124</f>
        <v>4.9000000000000004</v>
      </c>
      <c r="F134" s="7" t="str">
        <f t="shared" si="12"/>
        <v>mediano</v>
      </c>
      <c r="G134" s="7">
        <f>iris_data_csv!D124</f>
        <v>2</v>
      </c>
      <c r="H134" s="7" t="str">
        <f t="shared" si="13"/>
        <v>grande</v>
      </c>
      <c r="I134" s="7" t="str">
        <f>iris_data_csv!E124</f>
        <v>Iris-virginica</v>
      </c>
    </row>
    <row r="135">
      <c r="A135" s="7">
        <f>iris_data_csv!A125</f>
        <v>7.7000000000000002</v>
      </c>
      <c r="B135" s="7" t="str">
        <f t="shared" si="10"/>
        <v>grande</v>
      </c>
      <c r="C135" s="7">
        <f>iris_data_csv!B125</f>
        <v>2.7999999999999998</v>
      </c>
      <c r="D135" s="7" t="str">
        <f t="shared" si="11"/>
        <v>chico</v>
      </c>
      <c r="E135" s="7">
        <f>iris_data_csv!C125</f>
        <v>6.7000000000000002</v>
      </c>
      <c r="F135" s="7" t="str">
        <f t="shared" si="12"/>
        <v>grande</v>
      </c>
      <c r="G135" s="7">
        <f>iris_data_csv!D125</f>
        <v>2</v>
      </c>
      <c r="H135" s="7" t="str">
        <f t="shared" si="13"/>
        <v>grande</v>
      </c>
      <c r="I135" s="7" t="str">
        <f>iris_data_csv!E125</f>
        <v>Iris-virginica</v>
      </c>
    </row>
    <row r="136">
      <c r="A136" s="7">
        <f>iris_data_csv!A126</f>
        <v>6.2999999999999998</v>
      </c>
      <c r="B136" s="7" t="str">
        <f t="shared" si="10"/>
        <v>mediano</v>
      </c>
      <c r="C136" s="7">
        <f>iris_data_csv!B126</f>
        <v>2.7000000000000002</v>
      </c>
      <c r="D136" s="7" t="str">
        <f t="shared" si="11"/>
        <v>chico</v>
      </c>
      <c r="E136" s="7">
        <f>iris_data_csv!C126</f>
        <v>4.9000000000000004</v>
      </c>
      <c r="F136" s="7" t="str">
        <f t="shared" si="12"/>
        <v>mediano</v>
      </c>
      <c r="G136" s="7">
        <f>iris_data_csv!D126</f>
        <v>1.8</v>
      </c>
      <c r="H136" s="7" t="str">
        <f t="shared" si="13"/>
        <v>grande</v>
      </c>
      <c r="I136" s="7" t="str">
        <f>iris_data_csv!E126</f>
        <v>Iris-virginica</v>
      </c>
    </row>
    <row r="137">
      <c r="A137" s="7">
        <f>iris_data_csv!A127</f>
        <v>6.7000000000000002</v>
      </c>
      <c r="B137" s="7" t="str">
        <f t="shared" si="10"/>
        <v>mediano</v>
      </c>
      <c r="C137" s="7">
        <f>iris_data_csv!B127</f>
        <v>3.2999999999999998</v>
      </c>
      <c r="D137" s="7" t="str">
        <f t="shared" si="11"/>
        <v>mediano</v>
      </c>
      <c r="E137" s="7">
        <f>iris_data_csv!C127</f>
        <v>5.7000000000000002</v>
      </c>
      <c r="F137" s="7" t="str">
        <f t="shared" si="12"/>
        <v>grande</v>
      </c>
      <c r="G137" s="7">
        <f>iris_data_csv!D127</f>
        <v>2.1000000000000001</v>
      </c>
      <c r="H137" s="7" t="str">
        <f t="shared" si="13"/>
        <v>grande</v>
      </c>
      <c r="I137" s="7" t="str">
        <f>iris_data_csv!E127</f>
        <v>Iris-virginica</v>
      </c>
    </row>
    <row r="138">
      <c r="A138" s="7">
        <f>iris_data_csv!A128</f>
        <v>7.2000000000000002</v>
      </c>
      <c r="B138" s="7" t="str">
        <f t="shared" si="10"/>
        <v>grande</v>
      </c>
      <c r="C138" s="7">
        <f>iris_data_csv!B128</f>
        <v>3.2000000000000002</v>
      </c>
      <c r="D138" s="7" t="str">
        <f t="shared" si="11"/>
        <v>mediano</v>
      </c>
      <c r="E138" s="7">
        <f>iris_data_csv!C128</f>
        <v>6</v>
      </c>
      <c r="F138" s="7" t="str">
        <f t="shared" si="12"/>
        <v>grande</v>
      </c>
      <c r="G138" s="7">
        <f>iris_data_csv!D128</f>
        <v>1.8</v>
      </c>
      <c r="H138" s="7" t="str">
        <f t="shared" si="13"/>
        <v>grande</v>
      </c>
      <c r="I138" s="7" t="str">
        <f>iris_data_csv!E128</f>
        <v>Iris-virginica</v>
      </c>
    </row>
    <row r="139">
      <c r="A139" s="7">
        <f>iris_data_csv!A129</f>
        <v>6.2000000000000002</v>
      </c>
      <c r="B139" s="7" t="str">
        <f t="shared" si="10"/>
        <v>mediano</v>
      </c>
      <c r="C139" s="7">
        <f>iris_data_csv!B129</f>
        <v>2.7999999999999998</v>
      </c>
      <c r="D139" s="7" t="str">
        <f t="shared" si="11"/>
        <v>chico</v>
      </c>
      <c r="E139" s="7">
        <f>iris_data_csv!C129</f>
        <v>4.7999999999999998</v>
      </c>
      <c r="F139" s="7" t="str">
        <f t="shared" si="12"/>
        <v>mediano</v>
      </c>
      <c r="G139" s="7">
        <f>iris_data_csv!D129</f>
        <v>1.8</v>
      </c>
      <c r="H139" s="7" t="str">
        <f t="shared" si="13"/>
        <v>grande</v>
      </c>
      <c r="I139" s="7" t="str">
        <f>iris_data_csv!E129</f>
        <v>Iris-virginica</v>
      </c>
    </row>
    <row r="140">
      <c r="A140" s="7">
        <f>iris_data_csv!A130</f>
        <v>6.0999999999999996</v>
      </c>
      <c r="B140" s="7" t="str">
        <f t="shared" si="10"/>
        <v>mediano</v>
      </c>
      <c r="C140" s="7">
        <f>iris_data_csv!B130</f>
        <v>3</v>
      </c>
      <c r="D140" s="7" t="str">
        <f t="shared" si="11"/>
        <v>mediano</v>
      </c>
      <c r="E140" s="7">
        <f>iris_data_csv!C130</f>
        <v>4.9000000000000004</v>
      </c>
      <c r="F140" s="7" t="str">
        <f t="shared" si="12"/>
        <v>mediano</v>
      </c>
      <c r="G140" s="7">
        <f>iris_data_csv!D130</f>
        <v>1.8</v>
      </c>
      <c r="H140" s="7" t="str">
        <f t="shared" si="13"/>
        <v>grande</v>
      </c>
      <c r="I140" s="7" t="str">
        <f>iris_data_csv!E130</f>
        <v>Iris-virginica</v>
      </c>
    </row>
    <row r="141">
      <c r="A141" s="7">
        <f>iris_data_csv!A131</f>
        <v>6.4000000000000004</v>
      </c>
      <c r="B141" s="7" t="str">
        <f t="shared" si="10"/>
        <v>mediano</v>
      </c>
      <c r="C141" s="7">
        <f>iris_data_csv!B131</f>
        <v>2.7999999999999998</v>
      </c>
      <c r="D141" s="7" t="str">
        <f t="shared" si="11"/>
        <v>chico</v>
      </c>
      <c r="E141" s="7">
        <f>iris_data_csv!C131</f>
        <v>5.5999999999999996</v>
      </c>
      <c r="F141" s="7" t="str">
        <f t="shared" si="12"/>
        <v>grande</v>
      </c>
      <c r="G141" s="7">
        <f>iris_data_csv!D131</f>
        <v>2.1000000000000001</v>
      </c>
      <c r="H141" s="7" t="str">
        <f t="shared" si="13"/>
        <v>grande</v>
      </c>
      <c r="I141" s="7" t="str">
        <f>iris_data_csv!E131</f>
        <v>Iris-virginica</v>
      </c>
    </row>
    <row r="142">
      <c r="A142" s="7">
        <f>iris_data_csv!A132</f>
        <v>7.2000000000000002</v>
      </c>
      <c r="B142" s="7" t="str">
        <f t="shared" si="10"/>
        <v>grande</v>
      </c>
      <c r="C142" s="7">
        <f>iris_data_csv!B132</f>
        <v>3</v>
      </c>
      <c r="D142" s="7" t="str">
        <f t="shared" si="11"/>
        <v>mediano</v>
      </c>
      <c r="E142" s="7">
        <f>iris_data_csv!C132</f>
        <v>5.7999999999999998</v>
      </c>
      <c r="F142" s="7" t="str">
        <f t="shared" si="12"/>
        <v>grande</v>
      </c>
      <c r="G142" s="7">
        <f>iris_data_csv!D132</f>
        <v>1.6000000000000001</v>
      </c>
      <c r="H142" s="7" t="str">
        <f t="shared" si="13"/>
        <v>mediano</v>
      </c>
      <c r="I142" s="7" t="str">
        <f>iris_data_csv!E132</f>
        <v>Iris-virginica</v>
      </c>
    </row>
    <row r="143">
      <c r="A143" s="7">
        <f>iris_data_csv!A133</f>
        <v>7.4000000000000004</v>
      </c>
      <c r="B143" s="7" t="str">
        <f t="shared" si="10"/>
        <v>grande</v>
      </c>
      <c r="C143" s="7">
        <f>iris_data_csv!B133</f>
        <v>2.7999999999999998</v>
      </c>
      <c r="D143" s="7" t="str">
        <f t="shared" si="11"/>
        <v>chico</v>
      </c>
      <c r="E143" s="7">
        <f>iris_data_csv!C133</f>
        <v>6.0999999999999996</v>
      </c>
      <c r="F143" s="7" t="str">
        <f t="shared" si="12"/>
        <v>grande</v>
      </c>
      <c r="G143" s="7">
        <f>iris_data_csv!D133</f>
        <v>1.8999999999999999</v>
      </c>
      <c r="H143" s="7" t="str">
        <f t="shared" si="13"/>
        <v>grande</v>
      </c>
      <c r="I143" s="7" t="str">
        <f>iris_data_csv!E133</f>
        <v>Iris-virginica</v>
      </c>
    </row>
    <row r="144">
      <c r="A144" s="7">
        <f>iris_data_csv!A134</f>
        <v>7.9000000000000004</v>
      </c>
      <c r="B144" s="7" t="str">
        <f t="shared" si="10"/>
        <v>grande</v>
      </c>
      <c r="C144" s="7">
        <f>iris_data_csv!B134</f>
        <v>3.7999999999999998</v>
      </c>
      <c r="D144" s="7" t="str">
        <f t="shared" si="11"/>
        <v>grande</v>
      </c>
      <c r="E144" s="7">
        <f>iris_data_csv!C134</f>
        <v>6.4000000000000004</v>
      </c>
      <c r="F144" s="7" t="str">
        <f t="shared" si="12"/>
        <v>grande</v>
      </c>
      <c r="G144" s="7">
        <f>iris_data_csv!D134</f>
        <v>2</v>
      </c>
      <c r="H144" s="7" t="str">
        <f t="shared" si="13"/>
        <v>grande</v>
      </c>
      <c r="I144" s="7" t="str">
        <f>iris_data_csv!E134</f>
        <v>Iris-virginica</v>
      </c>
    </row>
    <row r="145">
      <c r="A145" s="7">
        <f>iris_data_csv!A135</f>
        <v>6.4000000000000004</v>
      </c>
      <c r="B145" s="7" t="str">
        <f t="shared" si="10"/>
        <v>mediano</v>
      </c>
      <c r="C145" s="7">
        <f>iris_data_csv!B135</f>
        <v>2.7999999999999998</v>
      </c>
      <c r="D145" s="7" t="str">
        <f t="shared" si="11"/>
        <v>chico</v>
      </c>
      <c r="E145" s="7">
        <f>iris_data_csv!C135</f>
        <v>5.5999999999999996</v>
      </c>
      <c r="F145" s="7" t="str">
        <f t="shared" si="12"/>
        <v>grande</v>
      </c>
      <c r="G145" s="7">
        <f>iris_data_csv!D135</f>
        <v>2.2000000000000002</v>
      </c>
      <c r="H145" s="7" t="str">
        <f t="shared" si="13"/>
        <v>grande</v>
      </c>
      <c r="I145" s="7" t="str">
        <f>iris_data_csv!E135</f>
        <v>Iris-virginica</v>
      </c>
    </row>
    <row r="146">
      <c r="A146" s="7">
        <f>iris_data_csv!A136</f>
        <v>6.2999999999999998</v>
      </c>
      <c r="B146" s="7" t="str">
        <f t="shared" si="10"/>
        <v>mediano</v>
      </c>
      <c r="C146" s="7">
        <f>iris_data_csv!B136</f>
        <v>2.7999999999999998</v>
      </c>
      <c r="D146" s="7" t="str">
        <f t="shared" si="11"/>
        <v>chico</v>
      </c>
      <c r="E146" s="7">
        <f>iris_data_csv!C136</f>
        <v>5.0999999999999996</v>
      </c>
      <c r="F146" s="7" t="str">
        <f t="shared" si="12"/>
        <v>grande</v>
      </c>
      <c r="G146" s="7">
        <f>iris_data_csv!D136</f>
        <v>1.5</v>
      </c>
      <c r="H146" s="7" t="str">
        <f t="shared" si="13"/>
        <v>mediano</v>
      </c>
      <c r="I146" s="7" t="str">
        <f>iris_data_csv!E136</f>
        <v>Iris-virginica</v>
      </c>
    </row>
    <row r="147">
      <c r="A147" s="7">
        <f>iris_data_csv!A137</f>
        <v>6.0999999999999996</v>
      </c>
      <c r="B147" s="7" t="str">
        <f t="shared" si="10"/>
        <v>mediano</v>
      </c>
      <c r="C147" s="7">
        <f>iris_data_csv!B137</f>
        <v>2.6000000000000001</v>
      </c>
      <c r="D147" s="7" t="str">
        <f t="shared" si="11"/>
        <v>chico</v>
      </c>
      <c r="E147" s="7">
        <f>iris_data_csv!C137</f>
        <v>5.5999999999999996</v>
      </c>
      <c r="F147" s="7" t="str">
        <f t="shared" si="12"/>
        <v>grande</v>
      </c>
      <c r="G147" s="7">
        <f>iris_data_csv!D137</f>
        <v>1.3999999999999999</v>
      </c>
      <c r="H147" s="7" t="str">
        <f t="shared" si="13"/>
        <v>mediano</v>
      </c>
      <c r="I147" s="7" t="str">
        <f>iris_data_csv!E137</f>
        <v>Iris-virginica</v>
      </c>
    </row>
    <row r="148">
      <c r="A148" s="7">
        <f>iris_data_csv!A138</f>
        <v>7.7000000000000002</v>
      </c>
      <c r="B148" s="7" t="str">
        <f t="shared" si="10"/>
        <v>grande</v>
      </c>
      <c r="C148" s="7">
        <f>iris_data_csv!B138</f>
        <v>3</v>
      </c>
      <c r="D148" s="7" t="str">
        <f t="shared" si="11"/>
        <v>mediano</v>
      </c>
      <c r="E148" s="7">
        <f>iris_data_csv!C138</f>
        <v>6.0999999999999996</v>
      </c>
      <c r="F148" s="7" t="str">
        <f t="shared" si="12"/>
        <v>grande</v>
      </c>
      <c r="G148" s="7">
        <f>iris_data_csv!D138</f>
        <v>2.2999999999999998</v>
      </c>
      <c r="H148" s="7" t="str">
        <f t="shared" si="13"/>
        <v>grande</v>
      </c>
      <c r="I148" s="7" t="str">
        <f>iris_data_csv!E138</f>
        <v>Iris-virginica</v>
      </c>
    </row>
    <row r="149">
      <c r="A149" s="7">
        <f>iris_data_csv!A139</f>
        <v>6.2999999999999998</v>
      </c>
      <c r="B149" s="7" t="str">
        <f t="shared" si="10"/>
        <v>mediano</v>
      </c>
      <c r="C149" s="7">
        <f>iris_data_csv!B139</f>
        <v>3.3999999999999999</v>
      </c>
      <c r="D149" s="7" t="str">
        <f t="shared" si="11"/>
        <v>mediano</v>
      </c>
      <c r="E149" s="7">
        <f>iris_data_csv!C139</f>
        <v>5.5999999999999996</v>
      </c>
      <c r="F149" s="7" t="str">
        <f t="shared" si="12"/>
        <v>grande</v>
      </c>
      <c r="G149" s="7">
        <f>iris_data_csv!D139</f>
        <v>2.3999999999999999</v>
      </c>
      <c r="H149" s="7" t="str">
        <f t="shared" si="13"/>
        <v>grande</v>
      </c>
      <c r="I149" s="7" t="str">
        <f>iris_data_csv!E139</f>
        <v>Iris-virginica</v>
      </c>
    </row>
    <row r="150">
      <c r="A150" s="7">
        <f>iris_data_csv!A140</f>
        <v>6.4000000000000004</v>
      </c>
      <c r="B150" s="7" t="str">
        <f t="shared" si="10"/>
        <v>mediano</v>
      </c>
      <c r="C150" s="7">
        <f>iris_data_csv!B140</f>
        <v>3.1000000000000001</v>
      </c>
      <c r="D150" s="7" t="str">
        <f t="shared" si="11"/>
        <v>mediano</v>
      </c>
      <c r="E150" s="7">
        <f>iris_data_csv!C140</f>
        <v>5.5</v>
      </c>
      <c r="F150" s="7" t="str">
        <f t="shared" si="12"/>
        <v>grande</v>
      </c>
      <c r="G150" s="7">
        <f>iris_data_csv!D140</f>
        <v>1.8</v>
      </c>
      <c r="H150" s="7" t="str">
        <f t="shared" si="13"/>
        <v>grande</v>
      </c>
      <c r="I150" s="7" t="str">
        <f>iris_data_csv!E140</f>
        <v>Iris-virginica</v>
      </c>
    </row>
    <row r="151">
      <c r="A151" s="7">
        <f>iris_data_csv!A141</f>
        <v>6</v>
      </c>
      <c r="B151" s="7" t="str">
        <f t="shared" si="10"/>
        <v>mediano</v>
      </c>
      <c r="C151" s="7">
        <f>iris_data_csv!B141</f>
        <v>3</v>
      </c>
      <c r="D151" s="7" t="str">
        <f t="shared" si="11"/>
        <v>mediano</v>
      </c>
      <c r="E151" s="7">
        <f>iris_data_csv!C141</f>
        <v>4.7999999999999998</v>
      </c>
      <c r="F151" s="7" t="str">
        <f t="shared" si="12"/>
        <v>mediano</v>
      </c>
      <c r="G151" s="7">
        <f>iris_data_csv!D141</f>
        <v>1.8</v>
      </c>
      <c r="H151" s="7" t="str">
        <f t="shared" si="13"/>
        <v>grande</v>
      </c>
      <c r="I151" s="7" t="str">
        <f>iris_data_csv!E141</f>
        <v>Iris-virginica</v>
      </c>
    </row>
    <row r="152">
      <c r="A152" s="7">
        <f>iris_data_csv!A142</f>
        <v>6.9000000000000004</v>
      </c>
      <c r="B152" s="7" t="str">
        <f t="shared" si="10"/>
        <v>grande</v>
      </c>
      <c r="C152" s="7">
        <f>iris_data_csv!B142</f>
        <v>3.1000000000000001</v>
      </c>
      <c r="D152" s="7" t="str">
        <f t="shared" si="11"/>
        <v>mediano</v>
      </c>
      <c r="E152" s="7">
        <f>iris_data_csv!C142</f>
        <v>5.4000000000000004</v>
      </c>
      <c r="F152" s="7" t="str">
        <f t="shared" si="12"/>
        <v>grande</v>
      </c>
      <c r="G152" s="7">
        <f>iris_data_csv!D142</f>
        <v>2.1000000000000001</v>
      </c>
      <c r="H152" s="7" t="str">
        <f t="shared" si="13"/>
        <v>grande</v>
      </c>
      <c r="I152" s="7" t="str">
        <f>iris_data_csv!E142</f>
        <v>Iris-virginica</v>
      </c>
    </row>
    <row r="153">
      <c r="A153" s="7">
        <f>iris_data_csv!A143</f>
        <v>6.7000000000000002</v>
      </c>
      <c r="B153" s="7" t="str">
        <f t="shared" si="10"/>
        <v>mediano</v>
      </c>
      <c r="C153" s="7">
        <f>iris_data_csv!B143</f>
        <v>3.1000000000000001</v>
      </c>
      <c r="D153" s="7" t="str">
        <f t="shared" si="11"/>
        <v>mediano</v>
      </c>
      <c r="E153" s="7">
        <f>iris_data_csv!C143</f>
        <v>5.5999999999999996</v>
      </c>
      <c r="F153" s="7" t="str">
        <f t="shared" si="12"/>
        <v>grande</v>
      </c>
      <c r="G153" s="7">
        <f>iris_data_csv!D143</f>
        <v>2.3999999999999999</v>
      </c>
      <c r="H153" s="7" t="str">
        <f t="shared" si="13"/>
        <v>grande</v>
      </c>
      <c r="I153" s="7" t="str">
        <f>iris_data_csv!E143</f>
        <v>Iris-virginica</v>
      </c>
    </row>
    <row r="154">
      <c r="A154" s="7">
        <f>iris_data_csv!A144</f>
        <v>6.9000000000000004</v>
      </c>
      <c r="B154" s="7" t="str">
        <f t="shared" si="10"/>
        <v>grande</v>
      </c>
      <c r="C154" s="7">
        <f>iris_data_csv!B144</f>
        <v>3.1000000000000001</v>
      </c>
      <c r="D154" s="7" t="str">
        <f t="shared" si="11"/>
        <v>mediano</v>
      </c>
      <c r="E154" s="7">
        <f>iris_data_csv!C144</f>
        <v>5.0999999999999996</v>
      </c>
      <c r="F154" s="7" t="str">
        <f t="shared" si="12"/>
        <v>grande</v>
      </c>
      <c r="G154" s="7">
        <f>iris_data_csv!D144</f>
        <v>2.2999999999999998</v>
      </c>
      <c r="H154" s="7" t="str">
        <f t="shared" si="13"/>
        <v>grande</v>
      </c>
      <c r="I154" s="7" t="str">
        <f>iris_data_csv!E144</f>
        <v>Iris-virginica</v>
      </c>
    </row>
    <row r="155">
      <c r="A155" s="7">
        <f>iris_data_csv!A145</f>
        <v>5.7999999999999998</v>
      </c>
      <c r="B155" s="7" t="str">
        <f t="shared" si="10"/>
        <v>mediano</v>
      </c>
      <c r="C155" s="7">
        <f>iris_data_csv!B145</f>
        <v>2.7000000000000002</v>
      </c>
      <c r="D155" s="7" t="str">
        <f t="shared" si="11"/>
        <v>chico</v>
      </c>
      <c r="E155" s="7">
        <f>iris_data_csv!C145</f>
        <v>5.0999999999999996</v>
      </c>
      <c r="F155" s="7" t="str">
        <f t="shared" si="12"/>
        <v>grande</v>
      </c>
      <c r="G155" s="7">
        <f>iris_data_csv!D145</f>
        <v>1.8999999999999999</v>
      </c>
      <c r="H155" s="7" t="str">
        <f t="shared" si="13"/>
        <v>grande</v>
      </c>
      <c r="I155" s="7" t="str">
        <f>iris_data_csv!E145</f>
        <v>Iris-virginica</v>
      </c>
    </row>
    <row r="156">
      <c r="A156" s="7">
        <f>iris_data_csv!A146</f>
        <v>6.7999999999999998</v>
      </c>
      <c r="B156" s="7" t="str">
        <f t="shared" si="10"/>
        <v>grande</v>
      </c>
      <c r="C156" s="7">
        <f>iris_data_csv!B146</f>
        <v>3.2000000000000002</v>
      </c>
      <c r="D156" s="7" t="str">
        <f t="shared" si="11"/>
        <v>mediano</v>
      </c>
      <c r="E156" s="7">
        <f>iris_data_csv!C146</f>
        <v>5.9000000000000004</v>
      </c>
      <c r="F156" s="7" t="str">
        <f t="shared" si="12"/>
        <v>grande</v>
      </c>
      <c r="G156" s="7">
        <f>iris_data_csv!D146</f>
        <v>2.2999999999999998</v>
      </c>
      <c r="H156" s="7" t="str">
        <f t="shared" si="13"/>
        <v>grande</v>
      </c>
      <c r="I156" s="7" t="str">
        <f>iris_data_csv!E146</f>
        <v>Iris-virginica</v>
      </c>
    </row>
    <row r="157">
      <c r="A157" s="7">
        <f>iris_data_csv!A147</f>
        <v>6.7000000000000002</v>
      </c>
      <c r="B157" s="7" t="str">
        <f t="shared" si="10"/>
        <v>mediano</v>
      </c>
      <c r="C157" s="7">
        <f>iris_data_csv!B147</f>
        <v>3.2999999999999998</v>
      </c>
      <c r="D157" s="7" t="str">
        <f t="shared" si="11"/>
        <v>mediano</v>
      </c>
      <c r="E157" s="7">
        <f>iris_data_csv!C147</f>
        <v>5.7000000000000002</v>
      </c>
      <c r="F157" s="7" t="str">
        <f t="shared" si="12"/>
        <v>grande</v>
      </c>
      <c r="G157" s="7">
        <f>iris_data_csv!D147</f>
        <v>2.5</v>
      </c>
      <c r="H157" s="7" t="str">
        <f t="shared" si="13"/>
        <v>grande</v>
      </c>
      <c r="I157" s="7" t="str">
        <f>iris_data_csv!E147</f>
        <v>Iris-virginica</v>
      </c>
    </row>
    <row r="158">
      <c r="A158" s="7">
        <f>iris_data_csv!A148</f>
        <v>6.7000000000000002</v>
      </c>
      <c r="B158" s="7" t="str">
        <f t="shared" si="10"/>
        <v>mediano</v>
      </c>
      <c r="C158" s="7">
        <f>iris_data_csv!B148</f>
        <v>3</v>
      </c>
      <c r="D158" s="7" t="str">
        <f t="shared" si="11"/>
        <v>mediano</v>
      </c>
      <c r="E158" s="7">
        <f>iris_data_csv!C148</f>
        <v>5.2000000000000002</v>
      </c>
      <c r="F158" s="7" t="str">
        <f t="shared" si="12"/>
        <v>grande</v>
      </c>
      <c r="G158" s="7">
        <f>iris_data_csv!D148</f>
        <v>2.2999999999999998</v>
      </c>
      <c r="H158" s="7" t="str">
        <f t="shared" si="13"/>
        <v>grande</v>
      </c>
      <c r="I158" s="7" t="str">
        <f>iris_data_csv!E148</f>
        <v>Iris-virginica</v>
      </c>
    </row>
    <row r="159">
      <c r="A159" s="7">
        <f>iris_data_csv!A149</f>
        <v>6.2999999999999998</v>
      </c>
      <c r="B159" s="7" t="str">
        <f t="shared" si="10"/>
        <v>mediano</v>
      </c>
      <c r="C159" s="7">
        <f>iris_data_csv!B149</f>
        <v>2.5</v>
      </c>
      <c r="D159" s="7" t="str">
        <f t="shared" si="11"/>
        <v>chico</v>
      </c>
      <c r="E159" s="7">
        <f>iris_data_csv!C149</f>
        <v>5</v>
      </c>
      <c r="F159" s="7" t="str">
        <f t="shared" si="12"/>
        <v>grande</v>
      </c>
      <c r="G159" s="7">
        <f>iris_data_csv!D149</f>
        <v>1.8999999999999999</v>
      </c>
      <c r="H159" s="7" t="str">
        <f t="shared" si="13"/>
        <v>grande</v>
      </c>
      <c r="I159" s="7" t="str">
        <f>iris_data_csv!E149</f>
        <v>Iris-virginica</v>
      </c>
    </row>
    <row r="160">
      <c r="A160" s="7">
        <f>iris_data_csv!A150</f>
        <v>6.5</v>
      </c>
      <c r="B160" s="7" t="str">
        <f t="shared" si="10"/>
        <v>mediano</v>
      </c>
      <c r="C160" s="7">
        <f>iris_data_csv!B150</f>
        <v>3</v>
      </c>
      <c r="D160" s="7" t="str">
        <f t="shared" si="11"/>
        <v>mediano</v>
      </c>
      <c r="E160" s="7">
        <f>iris_data_csv!C150</f>
        <v>5.2000000000000002</v>
      </c>
      <c r="F160" s="7" t="str">
        <f t="shared" si="12"/>
        <v>grande</v>
      </c>
      <c r="G160" s="7">
        <f>iris_data_csv!D150</f>
        <v>2</v>
      </c>
      <c r="H160" s="7" t="str">
        <f t="shared" si="13"/>
        <v>grande</v>
      </c>
      <c r="I160" s="7" t="str">
        <f>iris_data_csv!E150</f>
        <v>Iris-virginica</v>
      </c>
    </row>
    <row r="161">
      <c r="A161" s="7">
        <f>iris_data_csv!A151</f>
        <v>6.2000000000000002</v>
      </c>
      <c r="B161" s="7" t="str">
        <f t="shared" si="10"/>
        <v>mediano</v>
      </c>
      <c r="C161" s="7">
        <f>iris_data_csv!B151</f>
        <v>3.3999999999999999</v>
      </c>
      <c r="D161" s="7" t="str">
        <f t="shared" si="11"/>
        <v>mediano</v>
      </c>
      <c r="E161" s="7">
        <f>iris_data_csv!C151</f>
        <v>5.4000000000000004</v>
      </c>
      <c r="F161" s="7" t="str">
        <f t="shared" si="12"/>
        <v>grande</v>
      </c>
      <c r="G161" s="7">
        <f>iris_data_csv!D151</f>
        <v>2.2999999999999998</v>
      </c>
      <c r="H161" s="7" t="str">
        <f t="shared" si="13"/>
        <v>grande</v>
      </c>
      <c r="I161" s="7" t="str">
        <f>iris_data_csv!E151</f>
        <v>Iris-virginica</v>
      </c>
    </row>
    <row r="162">
      <c r="A162" s="7">
        <f>iris_data_csv!A152</f>
        <v>5.9000000000000004</v>
      </c>
      <c r="B162" s="7" t="str">
        <f t="shared" si="10"/>
        <v>mediano</v>
      </c>
      <c r="C162" s="7">
        <f>iris_data_csv!B152</f>
        <v>3</v>
      </c>
      <c r="D162" s="7" t="str">
        <f t="shared" si="11"/>
        <v>mediano</v>
      </c>
      <c r="E162" s="7">
        <f>iris_data_csv!C152</f>
        <v>5.0999999999999996</v>
      </c>
      <c r="F162" s="7" t="str">
        <f t="shared" si="12"/>
        <v>grande</v>
      </c>
      <c r="G162" s="7">
        <f>iris_data_csv!D152</f>
        <v>1.8</v>
      </c>
      <c r="H162" s="7" t="str">
        <f t="shared" si="13"/>
        <v>grande</v>
      </c>
      <c r="I162" s="7" t="str">
        <f>iris_data_csv!E152</f>
        <v>Iris-virginica</v>
      </c>
    </row>
  </sheetData>
  <mergeCells count="2">
    <mergeCell ref="A1:F1"/>
    <mergeCell ref="A2:F2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1" topLeftCell="A2" activePane="bottomLeft" state="frozen"/>
      <selection activeCell="A1" activeCellId="0" sqref="A1"/>
    </sheetView>
  </sheetViews>
  <sheetFormatPr defaultColWidth="8.6640625" defaultRowHeight="14.4"/>
  <cols>
    <col customWidth="1" min="1" max="1" width="6"/>
    <col customWidth="1" min="2" max="5" width="10"/>
    <col customWidth="1" min="6" max="6" width="16"/>
  </cols>
  <sheetData>
    <row r="1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7" t="e">
        <f t="shared" ref="A2:A65" si="14">discretizacion!#REF!</f>
        <v>#REF!</v>
      </c>
      <c r="B2" s="7" t="str">
        <f>discretizacion!B13</f>
        <v>chico</v>
      </c>
      <c r="C2" s="7" t="str">
        <f>discretizacion!D13</f>
        <v>mediano</v>
      </c>
      <c r="D2" s="7" t="str">
        <f>discretizacion!F13</f>
        <v>chico</v>
      </c>
      <c r="E2" s="7" t="str">
        <f>discretizacion!H13</f>
        <v>chico</v>
      </c>
      <c r="F2" s="7" t="str">
        <f>discretizacion!I13</f>
        <v>Iris-setosa</v>
      </c>
    </row>
    <row r="3">
      <c r="A3" s="7" t="e">
        <f t="shared" si="14"/>
        <v>#REF!</v>
      </c>
      <c r="B3" s="7" t="str">
        <f>discretizacion!B14</f>
        <v>chico</v>
      </c>
      <c r="C3" s="7" t="str">
        <f>discretizacion!D14</f>
        <v>mediano</v>
      </c>
      <c r="D3" s="7" t="str">
        <f>discretizacion!F14</f>
        <v>chico</v>
      </c>
      <c r="E3" s="7" t="str">
        <f>discretizacion!H14</f>
        <v>chico</v>
      </c>
      <c r="F3" s="7" t="str">
        <f>discretizacion!I14</f>
        <v>Iris-setosa</v>
      </c>
    </row>
    <row r="4">
      <c r="A4" s="7" t="e">
        <f t="shared" si="14"/>
        <v>#REF!</v>
      </c>
      <c r="B4" s="7" t="str">
        <f>discretizacion!B15</f>
        <v>chico</v>
      </c>
      <c r="C4" s="7" t="str">
        <f>discretizacion!D15</f>
        <v>mediano</v>
      </c>
      <c r="D4" s="7" t="str">
        <f>discretizacion!F15</f>
        <v>chico</v>
      </c>
      <c r="E4" s="7" t="str">
        <f>discretizacion!H15</f>
        <v>chico</v>
      </c>
      <c r="F4" s="7" t="str">
        <f>discretizacion!I15</f>
        <v>Iris-setosa</v>
      </c>
    </row>
    <row r="5">
      <c r="A5" s="7" t="e">
        <f t="shared" si="14"/>
        <v>#REF!</v>
      </c>
      <c r="B5" s="7" t="str">
        <f>discretizacion!B16</f>
        <v>chico</v>
      </c>
      <c r="C5" s="7" t="str">
        <f>discretizacion!D16</f>
        <v>mediano</v>
      </c>
      <c r="D5" s="7" t="str">
        <f>discretizacion!F16</f>
        <v>chico</v>
      </c>
      <c r="E5" s="7" t="str">
        <f>discretizacion!H16</f>
        <v>chico</v>
      </c>
      <c r="F5" s="7" t="str">
        <f>discretizacion!I16</f>
        <v>Iris-setosa</v>
      </c>
    </row>
    <row r="6">
      <c r="A6" s="7" t="e">
        <f t="shared" si="14"/>
        <v>#REF!</v>
      </c>
      <c r="B6" s="7" t="str">
        <f>discretizacion!B17</f>
        <v>chico</v>
      </c>
      <c r="C6" s="7" t="str">
        <f>discretizacion!D17</f>
        <v>mediano</v>
      </c>
      <c r="D6" s="7" t="str">
        <f>discretizacion!F17</f>
        <v>chico</v>
      </c>
      <c r="E6" s="7" t="str">
        <f>discretizacion!H17</f>
        <v>chico</v>
      </c>
      <c r="F6" s="7" t="str">
        <f>discretizacion!I17</f>
        <v>Iris-setosa</v>
      </c>
    </row>
    <row r="7">
      <c r="A7" s="7" t="e">
        <f t="shared" si="14"/>
        <v>#REF!</v>
      </c>
      <c r="B7" s="7" t="str">
        <f>discretizacion!B18</f>
        <v>chico</v>
      </c>
      <c r="C7" s="7" t="str">
        <f>discretizacion!D18</f>
        <v>grande</v>
      </c>
      <c r="D7" s="7" t="str">
        <f>discretizacion!F18</f>
        <v>chico</v>
      </c>
      <c r="E7" s="7" t="str">
        <f>discretizacion!H18</f>
        <v>chico</v>
      </c>
      <c r="F7" s="7" t="str">
        <f>discretizacion!I18</f>
        <v>Iris-setosa</v>
      </c>
    </row>
    <row r="8">
      <c r="A8" s="7" t="e">
        <f t="shared" si="14"/>
        <v>#REF!</v>
      </c>
      <c r="B8" s="7" t="str">
        <f>discretizacion!B19</f>
        <v>chico</v>
      </c>
      <c r="C8" s="7" t="str">
        <f>discretizacion!D19</f>
        <v>mediano</v>
      </c>
      <c r="D8" s="7" t="str">
        <f>discretizacion!F19</f>
        <v>chico</v>
      </c>
      <c r="E8" s="7" t="str">
        <f>discretizacion!H19</f>
        <v>chico</v>
      </c>
      <c r="F8" s="7" t="str">
        <f>discretizacion!I19</f>
        <v>Iris-setosa</v>
      </c>
    </row>
    <row r="9">
      <c r="A9" s="7" t="e">
        <f t="shared" si="14"/>
        <v>#REF!</v>
      </c>
      <c r="B9" s="7" t="str">
        <f>discretizacion!B20</f>
        <v>chico</v>
      </c>
      <c r="C9" s="7" t="str">
        <f>discretizacion!D20</f>
        <v>mediano</v>
      </c>
      <c r="D9" s="7" t="str">
        <f>discretizacion!F20</f>
        <v>chico</v>
      </c>
      <c r="E9" s="7" t="str">
        <f>discretizacion!H20</f>
        <v>chico</v>
      </c>
      <c r="F9" s="7" t="str">
        <f>discretizacion!I20</f>
        <v>Iris-setosa</v>
      </c>
    </row>
    <row r="10">
      <c r="A10" s="7" t="e">
        <f t="shared" si="14"/>
        <v>#REF!</v>
      </c>
      <c r="B10" s="7" t="str">
        <f>discretizacion!B21</f>
        <v>chico</v>
      </c>
      <c r="C10" s="7" t="str">
        <f>discretizacion!D21</f>
        <v>mediano</v>
      </c>
      <c r="D10" s="7" t="str">
        <f>discretizacion!F21</f>
        <v>chico</v>
      </c>
      <c r="E10" s="7" t="str">
        <f>discretizacion!H21</f>
        <v>chico</v>
      </c>
      <c r="F10" s="7" t="str">
        <f>discretizacion!I21</f>
        <v>Iris-setosa</v>
      </c>
    </row>
    <row r="11">
      <c r="A11" s="7" t="e">
        <f t="shared" si="14"/>
        <v>#REF!</v>
      </c>
      <c r="B11" s="7" t="str">
        <f>discretizacion!B22</f>
        <v>chico</v>
      </c>
      <c r="C11" s="7" t="str">
        <f>discretizacion!D22</f>
        <v>mediano</v>
      </c>
      <c r="D11" s="7" t="str">
        <f>discretizacion!F22</f>
        <v>chico</v>
      </c>
      <c r="E11" s="7" t="str">
        <f>discretizacion!H22</f>
        <v>chico</v>
      </c>
      <c r="F11" s="7" t="str">
        <f>discretizacion!I22</f>
        <v>Iris-setosa</v>
      </c>
    </row>
    <row r="12">
      <c r="A12" s="7" t="e">
        <f t="shared" si="14"/>
        <v>#REF!</v>
      </c>
      <c r="B12" s="7" t="str">
        <f>discretizacion!B23</f>
        <v>chico</v>
      </c>
      <c r="C12" s="7" t="str">
        <f>discretizacion!D23</f>
        <v>grande</v>
      </c>
      <c r="D12" s="7" t="str">
        <f>discretizacion!F23</f>
        <v>chico</v>
      </c>
      <c r="E12" s="7" t="str">
        <f>discretizacion!H23</f>
        <v>chico</v>
      </c>
      <c r="F12" s="7" t="str">
        <f>discretizacion!I23</f>
        <v>Iris-setosa</v>
      </c>
    </row>
    <row r="13">
      <c r="A13" s="7" t="e">
        <f t="shared" si="14"/>
        <v>#REF!</v>
      </c>
      <c r="B13" s="7" t="str">
        <f>discretizacion!B24</f>
        <v>chico</v>
      </c>
      <c r="C13" s="7" t="str">
        <f>discretizacion!D24</f>
        <v>mediano</v>
      </c>
      <c r="D13" s="7" t="str">
        <f>discretizacion!F24</f>
        <v>chico</v>
      </c>
      <c r="E13" s="7" t="str">
        <f>discretizacion!H24</f>
        <v>chico</v>
      </c>
      <c r="F13" s="7" t="str">
        <f>discretizacion!I24</f>
        <v>Iris-setosa</v>
      </c>
    </row>
    <row r="14">
      <c r="A14" s="7" t="e">
        <f t="shared" si="14"/>
        <v>#REF!</v>
      </c>
      <c r="B14" s="7" t="str">
        <f>discretizacion!B25</f>
        <v>chico</v>
      </c>
      <c r="C14" s="7" t="str">
        <f>discretizacion!D25</f>
        <v>mediano</v>
      </c>
      <c r="D14" s="7" t="str">
        <f>discretizacion!F25</f>
        <v>chico</v>
      </c>
      <c r="E14" s="7" t="str">
        <f>discretizacion!H25</f>
        <v>chico</v>
      </c>
      <c r="F14" s="7" t="str">
        <f>discretizacion!I25</f>
        <v>Iris-setosa</v>
      </c>
    </row>
    <row r="15">
      <c r="A15" s="7" t="e">
        <f t="shared" si="14"/>
        <v>#REF!</v>
      </c>
      <c r="B15" s="7" t="str">
        <f>discretizacion!B26</f>
        <v>chico</v>
      </c>
      <c r="C15" s="7" t="str">
        <f>discretizacion!D26</f>
        <v>mediano</v>
      </c>
      <c r="D15" s="7" t="str">
        <f>discretizacion!F26</f>
        <v>chico</v>
      </c>
      <c r="E15" s="7" t="str">
        <f>discretizacion!H26</f>
        <v>chico</v>
      </c>
      <c r="F15" s="7" t="str">
        <f>discretizacion!I26</f>
        <v>Iris-setosa</v>
      </c>
    </row>
    <row r="16">
      <c r="A16" s="7" t="e">
        <f t="shared" si="14"/>
        <v>#REF!</v>
      </c>
      <c r="B16" s="7" t="str">
        <f>discretizacion!B27</f>
        <v>mediano</v>
      </c>
      <c r="C16" s="7" t="str">
        <f>discretizacion!D27</f>
        <v>grande</v>
      </c>
      <c r="D16" s="7" t="str">
        <f>discretizacion!F27</f>
        <v>chico</v>
      </c>
      <c r="E16" s="7" t="str">
        <f>discretizacion!H27</f>
        <v>chico</v>
      </c>
      <c r="F16" s="7" t="str">
        <f>discretizacion!I27</f>
        <v>Iris-setosa</v>
      </c>
    </row>
    <row r="17">
      <c r="A17" s="7" t="e">
        <f t="shared" si="14"/>
        <v>#REF!</v>
      </c>
      <c r="B17" s="7" t="str">
        <f>discretizacion!B28</f>
        <v>mediano</v>
      </c>
      <c r="C17" s="7" t="str">
        <f>discretizacion!D28</f>
        <v>grande</v>
      </c>
      <c r="D17" s="7" t="str">
        <f>discretizacion!F28</f>
        <v>chico</v>
      </c>
      <c r="E17" s="7" t="str">
        <f>discretizacion!H28</f>
        <v>chico</v>
      </c>
      <c r="F17" s="7" t="str">
        <f>discretizacion!I28</f>
        <v>Iris-setosa</v>
      </c>
    </row>
    <row r="18">
      <c r="A18" s="7" t="e">
        <f t="shared" si="14"/>
        <v>#REF!</v>
      </c>
      <c r="B18" s="7" t="str">
        <f>discretizacion!B29</f>
        <v>chico</v>
      </c>
      <c r="C18" s="7" t="str">
        <f>discretizacion!D29</f>
        <v>grande</v>
      </c>
      <c r="D18" s="7" t="str">
        <f>discretizacion!F29</f>
        <v>chico</v>
      </c>
      <c r="E18" s="7" t="str">
        <f>discretizacion!H29</f>
        <v>chico</v>
      </c>
      <c r="F18" s="7" t="str">
        <f>discretizacion!I29</f>
        <v>Iris-setosa</v>
      </c>
    </row>
    <row r="19">
      <c r="A19" s="7" t="e">
        <f t="shared" si="14"/>
        <v>#REF!</v>
      </c>
      <c r="B19" s="7" t="str">
        <f>discretizacion!B30</f>
        <v>chico</v>
      </c>
      <c r="C19" s="7" t="str">
        <f>discretizacion!D30</f>
        <v>mediano</v>
      </c>
      <c r="D19" s="7" t="str">
        <f>discretizacion!F30</f>
        <v>chico</v>
      </c>
      <c r="E19" s="7" t="str">
        <f>discretizacion!H30</f>
        <v>chico</v>
      </c>
      <c r="F19" s="7" t="str">
        <f>discretizacion!I30</f>
        <v>Iris-setosa</v>
      </c>
    </row>
    <row r="20">
      <c r="A20" s="7" t="e">
        <f t="shared" si="14"/>
        <v>#REF!</v>
      </c>
      <c r="B20" s="7" t="str">
        <f>discretizacion!B31</f>
        <v>mediano</v>
      </c>
      <c r="C20" s="7" t="str">
        <f>discretizacion!D31</f>
        <v>grande</v>
      </c>
      <c r="D20" s="7" t="str">
        <f>discretizacion!F31</f>
        <v>chico</v>
      </c>
      <c r="E20" s="7" t="str">
        <f>discretizacion!H31</f>
        <v>chico</v>
      </c>
      <c r="F20" s="7" t="str">
        <f>discretizacion!I31</f>
        <v>Iris-setosa</v>
      </c>
    </row>
    <row r="21">
      <c r="A21" s="7" t="e">
        <f t="shared" si="14"/>
        <v>#REF!</v>
      </c>
      <c r="B21" s="7" t="str">
        <f>discretizacion!B32</f>
        <v>chico</v>
      </c>
      <c r="C21" s="7" t="str">
        <f>discretizacion!D32</f>
        <v>grande</v>
      </c>
      <c r="D21" s="7" t="str">
        <f>discretizacion!F32</f>
        <v>chico</v>
      </c>
      <c r="E21" s="7" t="str">
        <f>discretizacion!H32</f>
        <v>chico</v>
      </c>
      <c r="F21" s="7" t="str">
        <f>discretizacion!I32</f>
        <v>Iris-setosa</v>
      </c>
    </row>
    <row r="22">
      <c r="A22" s="7" t="e">
        <f t="shared" si="14"/>
        <v>#REF!</v>
      </c>
      <c r="B22" s="7" t="str">
        <f>discretizacion!B33</f>
        <v>chico</v>
      </c>
      <c r="C22" s="7" t="str">
        <f>discretizacion!D33</f>
        <v>mediano</v>
      </c>
      <c r="D22" s="7" t="str">
        <f>discretizacion!F33</f>
        <v>chico</v>
      </c>
      <c r="E22" s="7" t="str">
        <f>discretizacion!H33</f>
        <v>chico</v>
      </c>
      <c r="F22" s="7" t="str">
        <f>discretizacion!I33</f>
        <v>Iris-setosa</v>
      </c>
    </row>
    <row r="23">
      <c r="A23" s="7" t="e">
        <f t="shared" si="14"/>
        <v>#REF!</v>
      </c>
      <c r="B23" s="7" t="str">
        <f>discretizacion!B34</f>
        <v>chico</v>
      </c>
      <c r="C23" s="7" t="str">
        <f>discretizacion!D34</f>
        <v>grande</v>
      </c>
      <c r="D23" s="7" t="str">
        <f>discretizacion!F34</f>
        <v>chico</v>
      </c>
      <c r="E23" s="7" t="str">
        <f>discretizacion!H34</f>
        <v>chico</v>
      </c>
      <c r="F23" s="7" t="str">
        <f>discretizacion!I34</f>
        <v>Iris-setosa</v>
      </c>
    </row>
    <row r="24">
      <c r="A24" s="7" t="e">
        <f t="shared" si="14"/>
        <v>#REF!</v>
      </c>
      <c r="B24" s="7" t="str">
        <f>discretizacion!B35</f>
        <v>chico</v>
      </c>
      <c r="C24" s="7" t="str">
        <f>discretizacion!D35</f>
        <v>mediano</v>
      </c>
      <c r="D24" s="7" t="str">
        <f>discretizacion!F35</f>
        <v>chico</v>
      </c>
      <c r="E24" s="7" t="str">
        <f>discretizacion!H35</f>
        <v>chico</v>
      </c>
      <c r="F24" s="7" t="str">
        <f>discretizacion!I35</f>
        <v>Iris-setosa</v>
      </c>
    </row>
    <row r="25">
      <c r="A25" s="7" t="e">
        <f t="shared" si="14"/>
        <v>#REF!</v>
      </c>
      <c r="B25" s="7" t="str">
        <f>discretizacion!B36</f>
        <v>chico</v>
      </c>
      <c r="C25" s="7" t="str">
        <f>discretizacion!D36</f>
        <v>mediano</v>
      </c>
      <c r="D25" s="7" t="str">
        <f>discretizacion!F36</f>
        <v>chico</v>
      </c>
      <c r="E25" s="7" t="str">
        <f>discretizacion!H36</f>
        <v>chico</v>
      </c>
      <c r="F25" s="7" t="str">
        <f>discretizacion!I36</f>
        <v>Iris-setosa</v>
      </c>
    </row>
    <row r="26">
      <c r="A26" s="7" t="e">
        <f t="shared" si="14"/>
        <v>#REF!</v>
      </c>
      <c r="B26" s="7" t="str">
        <f>discretizacion!B37</f>
        <v>chico</v>
      </c>
      <c r="C26" s="7" t="str">
        <f>discretizacion!D37</f>
        <v>mediano</v>
      </c>
      <c r="D26" s="7" t="str">
        <f>discretizacion!F37</f>
        <v>chico</v>
      </c>
      <c r="E26" s="7" t="str">
        <f>discretizacion!H37</f>
        <v>chico</v>
      </c>
      <c r="F26" s="7" t="str">
        <f>discretizacion!I37</f>
        <v>Iris-setosa</v>
      </c>
    </row>
    <row r="27">
      <c r="A27" s="7" t="e">
        <f t="shared" si="14"/>
        <v>#REF!</v>
      </c>
      <c r="B27" s="7" t="str">
        <f>discretizacion!B38</f>
        <v>chico</v>
      </c>
      <c r="C27" s="7" t="str">
        <f>discretizacion!D38</f>
        <v>mediano</v>
      </c>
      <c r="D27" s="7" t="str">
        <f>discretizacion!F38</f>
        <v>chico</v>
      </c>
      <c r="E27" s="7" t="str">
        <f>discretizacion!H38</f>
        <v>chico</v>
      </c>
      <c r="F27" s="7" t="str">
        <f>discretizacion!I38</f>
        <v>Iris-setosa</v>
      </c>
    </row>
    <row r="28">
      <c r="A28" s="7" t="e">
        <f t="shared" si="14"/>
        <v>#REF!</v>
      </c>
      <c r="B28" s="7" t="str">
        <f>discretizacion!B39</f>
        <v>chico</v>
      </c>
      <c r="C28" s="7" t="str">
        <f>discretizacion!D39</f>
        <v>mediano</v>
      </c>
      <c r="D28" s="7" t="str">
        <f>discretizacion!F39</f>
        <v>chico</v>
      </c>
      <c r="E28" s="7" t="str">
        <f>discretizacion!H39</f>
        <v>chico</v>
      </c>
      <c r="F28" s="7" t="str">
        <f>discretizacion!I39</f>
        <v>Iris-setosa</v>
      </c>
    </row>
    <row r="29">
      <c r="A29" s="7" t="e">
        <f t="shared" si="14"/>
        <v>#REF!</v>
      </c>
      <c r="B29" s="7" t="str">
        <f>discretizacion!B40</f>
        <v>chico</v>
      </c>
      <c r="C29" s="7" t="str">
        <f>discretizacion!D40</f>
        <v>mediano</v>
      </c>
      <c r="D29" s="7" t="str">
        <f>discretizacion!F40</f>
        <v>chico</v>
      </c>
      <c r="E29" s="7" t="str">
        <f>discretizacion!H40</f>
        <v>chico</v>
      </c>
      <c r="F29" s="7" t="str">
        <f>discretizacion!I40</f>
        <v>Iris-setosa</v>
      </c>
    </row>
    <row r="30">
      <c r="A30" s="7" t="e">
        <f t="shared" si="14"/>
        <v>#REF!</v>
      </c>
      <c r="B30" s="7" t="str">
        <f>discretizacion!B41</f>
        <v>chico</v>
      </c>
      <c r="C30" s="7" t="str">
        <f>discretizacion!D41</f>
        <v>mediano</v>
      </c>
      <c r="D30" s="7" t="str">
        <f>discretizacion!F41</f>
        <v>chico</v>
      </c>
      <c r="E30" s="7" t="str">
        <f>discretizacion!H41</f>
        <v>chico</v>
      </c>
      <c r="F30" s="7" t="str">
        <f>discretizacion!I41</f>
        <v>Iris-setosa</v>
      </c>
    </row>
    <row r="31">
      <c r="A31" s="7" t="e">
        <f t="shared" si="14"/>
        <v>#REF!</v>
      </c>
      <c r="B31" s="7" t="str">
        <f>discretizacion!B42</f>
        <v>chico</v>
      </c>
      <c r="C31" s="7" t="str">
        <f>discretizacion!D42</f>
        <v>mediano</v>
      </c>
      <c r="D31" s="7" t="str">
        <f>discretizacion!F42</f>
        <v>chico</v>
      </c>
      <c r="E31" s="7" t="str">
        <f>discretizacion!H42</f>
        <v>chico</v>
      </c>
      <c r="F31" s="7" t="str">
        <f>discretizacion!I42</f>
        <v>Iris-setosa</v>
      </c>
    </row>
    <row r="32">
      <c r="A32" s="7" t="e">
        <f t="shared" si="14"/>
        <v>#REF!</v>
      </c>
      <c r="B32" s="7" t="str">
        <f>discretizacion!B43</f>
        <v>chico</v>
      </c>
      <c r="C32" s="7" t="str">
        <f>discretizacion!D43</f>
        <v>mediano</v>
      </c>
      <c r="D32" s="7" t="str">
        <f>discretizacion!F43</f>
        <v>chico</v>
      </c>
      <c r="E32" s="7" t="str">
        <f>discretizacion!H43</f>
        <v>chico</v>
      </c>
      <c r="F32" s="7" t="str">
        <f>discretizacion!I43</f>
        <v>Iris-setosa</v>
      </c>
    </row>
    <row r="33">
      <c r="A33" s="7" t="e">
        <f t="shared" si="14"/>
        <v>#REF!</v>
      </c>
      <c r="B33" s="7" t="str">
        <f>discretizacion!B44</f>
        <v>chico</v>
      </c>
      <c r="C33" s="7" t="str">
        <f>discretizacion!D44</f>
        <v>mediano</v>
      </c>
      <c r="D33" s="7" t="str">
        <f>discretizacion!F44</f>
        <v>chico</v>
      </c>
      <c r="E33" s="7" t="str">
        <f>discretizacion!H44</f>
        <v>chico</v>
      </c>
      <c r="F33" s="7" t="str">
        <f>discretizacion!I44</f>
        <v>Iris-setosa</v>
      </c>
    </row>
    <row r="34">
      <c r="A34" s="7" t="e">
        <f t="shared" si="14"/>
        <v>#REF!</v>
      </c>
      <c r="B34" s="7" t="str">
        <f>discretizacion!B45</f>
        <v>chico</v>
      </c>
      <c r="C34" s="7" t="str">
        <f>discretizacion!D45</f>
        <v>grande</v>
      </c>
      <c r="D34" s="7" t="str">
        <f>discretizacion!F45</f>
        <v>chico</v>
      </c>
      <c r="E34" s="7" t="str">
        <f>discretizacion!H45</f>
        <v>chico</v>
      </c>
      <c r="F34" s="7" t="str">
        <f>discretizacion!I45</f>
        <v>Iris-setosa</v>
      </c>
    </row>
    <row r="35">
      <c r="A35" s="7" t="e">
        <f t="shared" si="14"/>
        <v>#REF!</v>
      </c>
      <c r="B35" s="7" t="str">
        <f>discretizacion!B46</f>
        <v>chico</v>
      </c>
      <c r="C35" s="7" t="str">
        <f>discretizacion!D46</f>
        <v>grande</v>
      </c>
      <c r="D35" s="7" t="str">
        <f>discretizacion!F46</f>
        <v>chico</v>
      </c>
      <c r="E35" s="7" t="str">
        <f>discretizacion!H46</f>
        <v>chico</v>
      </c>
      <c r="F35" s="7" t="str">
        <f>discretizacion!I46</f>
        <v>Iris-setosa</v>
      </c>
    </row>
    <row r="36">
      <c r="A36" s="7" t="e">
        <f t="shared" si="14"/>
        <v>#REF!</v>
      </c>
      <c r="B36" s="7" t="str">
        <f>discretizacion!B47</f>
        <v>chico</v>
      </c>
      <c r="C36" s="7" t="str">
        <f>discretizacion!D47</f>
        <v>mediano</v>
      </c>
      <c r="D36" s="7" t="str">
        <f>discretizacion!F47</f>
        <v>chico</v>
      </c>
      <c r="E36" s="7" t="str">
        <f>discretizacion!H47</f>
        <v>chico</v>
      </c>
      <c r="F36" s="7" t="str">
        <f>discretizacion!I47</f>
        <v>Iris-setosa</v>
      </c>
    </row>
    <row r="37">
      <c r="A37" s="7" t="e">
        <f t="shared" si="14"/>
        <v>#REF!</v>
      </c>
      <c r="B37" s="7" t="str">
        <f>discretizacion!B48</f>
        <v>chico</v>
      </c>
      <c r="C37" s="7" t="str">
        <f>discretizacion!D48</f>
        <v>mediano</v>
      </c>
      <c r="D37" s="7" t="str">
        <f>discretizacion!F48</f>
        <v>chico</v>
      </c>
      <c r="E37" s="7" t="str">
        <f>discretizacion!H48</f>
        <v>chico</v>
      </c>
      <c r="F37" s="7" t="str">
        <f>discretizacion!I48</f>
        <v>Iris-setosa</v>
      </c>
    </row>
    <row r="38">
      <c r="A38" s="7" t="e">
        <f t="shared" si="14"/>
        <v>#REF!</v>
      </c>
      <c r="B38" s="7" t="str">
        <f>discretizacion!B49</f>
        <v>chico</v>
      </c>
      <c r="C38" s="7" t="str">
        <f>discretizacion!D49</f>
        <v>mediano</v>
      </c>
      <c r="D38" s="7" t="str">
        <f>discretizacion!F49</f>
        <v>chico</v>
      </c>
      <c r="E38" s="7" t="str">
        <f>discretizacion!H49</f>
        <v>chico</v>
      </c>
      <c r="F38" s="7" t="str">
        <f>discretizacion!I49</f>
        <v>Iris-setosa</v>
      </c>
    </row>
    <row r="39">
      <c r="A39" s="7" t="e">
        <f t="shared" si="14"/>
        <v>#REF!</v>
      </c>
      <c r="B39" s="7" t="str">
        <f>discretizacion!B50</f>
        <v>chico</v>
      </c>
      <c r="C39" s="7" t="str">
        <f>discretizacion!D50</f>
        <v>mediano</v>
      </c>
      <c r="D39" s="7" t="str">
        <f>discretizacion!F50</f>
        <v>chico</v>
      </c>
      <c r="E39" s="7" t="str">
        <f>discretizacion!H50</f>
        <v>chico</v>
      </c>
      <c r="F39" s="7" t="str">
        <f>discretizacion!I50</f>
        <v>Iris-setosa</v>
      </c>
    </row>
    <row r="40">
      <c r="A40" s="7" t="e">
        <f t="shared" si="14"/>
        <v>#REF!</v>
      </c>
      <c r="B40" s="7" t="str">
        <f>discretizacion!B51</f>
        <v>chico</v>
      </c>
      <c r="C40" s="7" t="str">
        <f>discretizacion!D51</f>
        <v>mediano</v>
      </c>
      <c r="D40" s="7" t="str">
        <f>discretizacion!F51</f>
        <v>chico</v>
      </c>
      <c r="E40" s="7" t="str">
        <f>discretizacion!H51</f>
        <v>chico</v>
      </c>
      <c r="F40" s="7" t="str">
        <f>discretizacion!I51</f>
        <v>Iris-setosa</v>
      </c>
    </row>
    <row r="41">
      <c r="A41" s="7" t="e">
        <f t="shared" si="14"/>
        <v>#REF!</v>
      </c>
      <c r="B41" s="7" t="str">
        <f>discretizacion!B52</f>
        <v>chico</v>
      </c>
      <c r="C41" s="7" t="str">
        <f>discretizacion!D52</f>
        <v>mediano</v>
      </c>
      <c r="D41" s="7" t="str">
        <f>discretizacion!F52</f>
        <v>chico</v>
      </c>
      <c r="E41" s="7" t="str">
        <f>discretizacion!H52</f>
        <v>chico</v>
      </c>
      <c r="F41" s="7" t="str">
        <f>discretizacion!I52</f>
        <v>Iris-setosa</v>
      </c>
    </row>
    <row r="42">
      <c r="A42" s="7" t="e">
        <f t="shared" si="14"/>
        <v>#REF!</v>
      </c>
      <c r="B42" s="7" t="str">
        <f>discretizacion!B53</f>
        <v>chico</v>
      </c>
      <c r="C42" s="7" t="str">
        <f>discretizacion!D53</f>
        <v>mediano</v>
      </c>
      <c r="D42" s="7" t="str">
        <f>discretizacion!F53</f>
        <v>chico</v>
      </c>
      <c r="E42" s="7" t="str">
        <f>discretizacion!H53</f>
        <v>chico</v>
      </c>
      <c r="F42" s="7" t="str">
        <f>discretizacion!I53</f>
        <v>Iris-setosa</v>
      </c>
    </row>
    <row r="43">
      <c r="A43" s="7" t="e">
        <f t="shared" si="14"/>
        <v>#REF!</v>
      </c>
      <c r="B43" s="7" t="str">
        <f>discretizacion!B54</f>
        <v>chico</v>
      </c>
      <c r="C43" s="7" t="str">
        <f>discretizacion!D54</f>
        <v>chico</v>
      </c>
      <c r="D43" s="7" t="str">
        <f>discretizacion!F54</f>
        <v>chico</v>
      </c>
      <c r="E43" s="7" t="str">
        <f>discretizacion!H54</f>
        <v>chico</v>
      </c>
      <c r="F43" s="7" t="str">
        <f>discretizacion!I54</f>
        <v>Iris-setosa</v>
      </c>
    </row>
    <row r="44">
      <c r="A44" s="7" t="e">
        <f t="shared" si="14"/>
        <v>#REF!</v>
      </c>
      <c r="B44" s="7" t="str">
        <f>discretizacion!B55</f>
        <v>chico</v>
      </c>
      <c r="C44" s="7" t="str">
        <f>discretizacion!D55</f>
        <v>mediano</v>
      </c>
      <c r="D44" s="7" t="str">
        <f>discretizacion!F55</f>
        <v>chico</v>
      </c>
      <c r="E44" s="7" t="str">
        <f>discretizacion!H55</f>
        <v>chico</v>
      </c>
      <c r="F44" s="7" t="str">
        <f>discretizacion!I55</f>
        <v>Iris-setosa</v>
      </c>
    </row>
    <row r="45">
      <c r="A45" s="7" t="e">
        <f t="shared" si="14"/>
        <v>#REF!</v>
      </c>
      <c r="B45" s="7" t="str">
        <f>discretizacion!B56</f>
        <v>chico</v>
      </c>
      <c r="C45" s="7" t="str">
        <f>discretizacion!D56</f>
        <v>mediano</v>
      </c>
      <c r="D45" s="7" t="str">
        <f>discretizacion!F56</f>
        <v>chico</v>
      </c>
      <c r="E45" s="7" t="str">
        <f>discretizacion!H56</f>
        <v>chico</v>
      </c>
      <c r="F45" s="7" t="str">
        <f>discretizacion!I56</f>
        <v>Iris-setosa</v>
      </c>
    </row>
    <row r="46">
      <c r="A46" s="7" t="e">
        <f t="shared" si="14"/>
        <v>#REF!</v>
      </c>
      <c r="B46" s="7" t="str">
        <f>discretizacion!B57</f>
        <v>chico</v>
      </c>
      <c r="C46" s="7" t="str">
        <f>discretizacion!D57</f>
        <v>grande</v>
      </c>
      <c r="D46" s="7" t="str">
        <f>discretizacion!F57</f>
        <v>chico</v>
      </c>
      <c r="E46" s="7" t="str">
        <f>discretizacion!H57</f>
        <v>chico</v>
      </c>
      <c r="F46" s="7" t="str">
        <f>discretizacion!I57</f>
        <v>Iris-setosa</v>
      </c>
    </row>
    <row r="47">
      <c r="A47" s="7" t="e">
        <f t="shared" si="14"/>
        <v>#REF!</v>
      </c>
      <c r="B47" s="7" t="str">
        <f>discretizacion!B58</f>
        <v>chico</v>
      </c>
      <c r="C47" s="7" t="str">
        <f>discretizacion!D58</f>
        <v>mediano</v>
      </c>
      <c r="D47" s="7" t="str">
        <f>discretizacion!F58</f>
        <v>chico</v>
      </c>
      <c r="E47" s="7" t="str">
        <f>discretizacion!H58</f>
        <v>chico</v>
      </c>
      <c r="F47" s="7" t="str">
        <f>discretizacion!I58</f>
        <v>Iris-setosa</v>
      </c>
    </row>
    <row r="48">
      <c r="A48" s="7" t="e">
        <f t="shared" si="14"/>
        <v>#REF!</v>
      </c>
      <c r="B48" s="7" t="str">
        <f>discretizacion!B59</f>
        <v>chico</v>
      </c>
      <c r="C48" s="7" t="str">
        <f>discretizacion!D59</f>
        <v>grande</v>
      </c>
      <c r="D48" s="7" t="str">
        <f>discretizacion!F59</f>
        <v>chico</v>
      </c>
      <c r="E48" s="7" t="str">
        <f>discretizacion!H59</f>
        <v>chico</v>
      </c>
      <c r="F48" s="7" t="str">
        <f>discretizacion!I59</f>
        <v>Iris-setosa</v>
      </c>
    </row>
    <row r="49">
      <c r="A49" s="7" t="e">
        <f t="shared" si="14"/>
        <v>#REF!</v>
      </c>
      <c r="B49" s="7" t="str">
        <f>discretizacion!B60</f>
        <v>chico</v>
      </c>
      <c r="C49" s="7" t="str">
        <f>discretizacion!D60</f>
        <v>mediano</v>
      </c>
      <c r="D49" s="7" t="str">
        <f>discretizacion!F60</f>
        <v>chico</v>
      </c>
      <c r="E49" s="7" t="str">
        <f>discretizacion!H60</f>
        <v>chico</v>
      </c>
      <c r="F49" s="7" t="str">
        <f>discretizacion!I60</f>
        <v>Iris-setosa</v>
      </c>
    </row>
    <row r="50">
      <c r="A50" s="7" t="e">
        <f t="shared" si="14"/>
        <v>#REF!</v>
      </c>
      <c r="B50" s="7" t="str">
        <f>discretizacion!B61</f>
        <v>chico</v>
      </c>
      <c r="C50" s="7" t="str">
        <f>discretizacion!D61</f>
        <v>grande</v>
      </c>
      <c r="D50" s="7" t="str">
        <f>discretizacion!F61</f>
        <v>chico</v>
      </c>
      <c r="E50" s="7" t="str">
        <f>discretizacion!H61</f>
        <v>chico</v>
      </c>
      <c r="F50" s="7" t="str">
        <f>discretizacion!I61</f>
        <v>Iris-setosa</v>
      </c>
    </row>
    <row r="51">
      <c r="A51" s="7" t="e">
        <f t="shared" si="14"/>
        <v>#REF!</v>
      </c>
      <c r="B51" s="7" t="str">
        <f>discretizacion!B62</f>
        <v>chico</v>
      </c>
      <c r="C51" s="7" t="str">
        <f>discretizacion!D62</f>
        <v>mediano</v>
      </c>
      <c r="D51" s="7" t="str">
        <f>discretizacion!F62</f>
        <v>chico</v>
      </c>
      <c r="E51" s="7" t="str">
        <f>discretizacion!H62</f>
        <v>chico</v>
      </c>
      <c r="F51" s="7" t="str">
        <f>discretizacion!I62</f>
        <v>Iris-setosa</v>
      </c>
    </row>
    <row r="52">
      <c r="A52" s="7" t="e">
        <f t="shared" si="14"/>
        <v>#REF!</v>
      </c>
      <c r="B52" s="7" t="str">
        <f>discretizacion!B63</f>
        <v>grande</v>
      </c>
      <c r="C52" s="7" t="str">
        <f>discretizacion!D63</f>
        <v>mediano</v>
      </c>
      <c r="D52" s="7" t="str">
        <f>discretizacion!F63</f>
        <v>mediano</v>
      </c>
      <c r="E52" s="7" t="str">
        <f>discretizacion!H63</f>
        <v>mediano</v>
      </c>
      <c r="F52" s="7" t="str">
        <f>discretizacion!I63</f>
        <v>Iris-versicolor</v>
      </c>
    </row>
    <row r="53">
      <c r="A53" s="7" t="e">
        <f t="shared" si="14"/>
        <v>#REF!</v>
      </c>
      <c r="B53" s="7" t="str">
        <f>discretizacion!B64</f>
        <v>mediano</v>
      </c>
      <c r="C53" s="7" t="str">
        <f>discretizacion!D64</f>
        <v>mediano</v>
      </c>
      <c r="D53" s="7" t="str">
        <f>discretizacion!F64</f>
        <v>mediano</v>
      </c>
      <c r="E53" s="7" t="str">
        <f>discretizacion!H64</f>
        <v>mediano</v>
      </c>
      <c r="F53" s="7" t="str">
        <f>discretizacion!I64</f>
        <v>Iris-versicolor</v>
      </c>
    </row>
    <row r="54">
      <c r="A54" s="7" t="e">
        <f t="shared" si="14"/>
        <v>#REF!</v>
      </c>
      <c r="B54" s="7" t="str">
        <f>discretizacion!B65</f>
        <v>grande</v>
      </c>
      <c r="C54" s="7" t="str">
        <f>discretizacion!D65</f>
        <v>mediano</v>
      </c>
      <c r="D54" s="7" t="str">
        <f>discretizacion!F65</f>
        <v>mediano</v>
      </c>
      <c r="E54" s="7" t="str">
        <f>discretizacion!H65</f>
        <v>mediano</v>
      </c>
      <c r="F54" s="7" t="str">
        <f>discretizacion!I65</f>
        <v>Iris-versicolor</v>
      </c>
    </row>
    <row r="55">
      <c r="A55" s="7" t="e">
        <f t="shared" si="14"/>
        <v>#REF!</v>
      </c>
      <c r="B55" s="7" t="str">
        <f>discretizacion!B66</f>
        <v>chico</v>
      </c>
      <c r="C55" s="7" t="str">
        <f>discretizacion!D66</f>
        <v>chico</v>
      </c>
      <c r="D55" s="7" t="str">
        <f>discretizacion!F66</f>
        <v>mediano</v>
      </c>
      <c r="E55" s="7" t="str">
        <f>discretizacion!H66</f>
        <v>mediano</v>
      </c>
      <c r="F55" s="7" t="str">
        <f>discretizacion!I66</f>
        <v>Iris-versicolor</v>
      </c>
    </row>
    <row r="56">
      <c r="A56" s="7" t="e">
        <f t="shared" si="14"/>
        <v>#REF!</v>
      </c>
      <c r="B56" s="7" t="str">
        <f>discretizacion!B67</f>
        <v>mediano</v>
      </c>
      <c r="C56" s="7" t="str">
        <f>discretizacion!D67</f>
        <v>chico</v>
      </c>
      <c r="D56" s="7" t="str">
        <f>discretizacion!F67</f>
        <v>mediano</v>
      </c>
      <c r="E56" s="7" t="str">
        <f>discretizacion!H67</f>
        <v>mediano</v>
      </c>
      <c r="F56" s="7" t="str">
        <f>discretizacion!I67</f>
        <v>Iris-versicolor</v>
      </c>
    </row>
    <row r="57">
      <c r="A57" s="7" t="e">
        <f t="shared" si="14"/>
        <v>#REF!</v>
      </c>
      <c r="B57" s="7" t="str">
        <f>discretizacion!B68</f>
        <v>mediano</v>
      </c>
      <c r="C57" s="7" t="str">
        <f>discretizacion!D68</f>
        <v>chico</v>
      </c>
      <c r="D57" s="7" t="str">
        <f>discretizacion!F68</f>
        <v>mediano</v>
      </c>
      <c r="E57" s="7" t="str">
        <f>discretizacion!H68</f>
        <v>mediano</v>
      </c>
      <c r="F57" s="7" t="str">
        <f>discretizacion!I68</f>
        <v>Iris-versicolor</v>
      </c>
    </row>
    <row r="58">
      <c r="A58" s="7" t="e">
        <f t="shared" si="14"/>
        <v>#REF!</v>
      </c>
      <c r="B58" s="7" t="str">
        <f>discretizacion!B69</f>
        <v>mediano</v>
      </c>
      <c r="C58" s="7" t="str">
        <f>discretizacion!D69</f>
        <v>mediano</v>
      </c>
      <c r="D58" s="7" t="str">
        <f>discretizacion!F69</f>
        <v>mediano</v>
      </c>
      <c r="E58" s="7" t="str">
        <f>discretizacion!H69</f>
        <v>mediano</v>
      </c>
      <c r="F58" s="7" t="str">
        <f>discretizacion!I69</f>
        <v>Iris-versicolor</v>
      </c>
    </row>
    <row r="59">
      <c r="A59" s="7" t="e">
        <f t="shared" si="14"/>
        <v>#REF!</v>
      </c>
      <c r="B59" s="7" t="str">
        <f>discretizacion!B70</f>
        <v>chico</v>
      </c>
      <c r="C59" s="7" t="str">
        <f>discretizacion!D70</f>
        <v>chico</v>
      </c>
      <c r="D59" s="7" t="str">
        <f>discretizacion!F70</f>
        <v>mediano</v>
      </c>
      <c r="E59" s="7" t="str">
        <f>discretizacion!H70</f>
        <v>mediano</v>
      </c>
      <c r="F59" s="7" t="str">
        <f>discretizacion!I70</f>
        <v>Iris-versicolor</v>
      </c>
    </row>
    <row r="60">
      <c r="A60" s="7" t="e">
        <f t="shared" si="14"/>
        <v>#REF!</v>
      </c>
      <c r="B60" s="7" t="str">
        <f>discretizacion!B71</f>
        <v>mediano</v>
      </c>
      <c r="C60" s="7" t="str">
        <f>discretizacion!D71</f>
        <v>mediano</v>
      </c>
      <c r="D60" s="7" t="str">
        <f>discretizacion!F71</f>
        <v>mediano</v>
      </c>
      <c r="E60" s="7" t="str">
        <f>discretizacion!H71</f>
        <v>mediano</v>
      </c>
      <c r="F60" s="7" t="str">
        <f>discretizacion!I71</f>
        <v>Iris-versicolor</v>
      </c>
    </row>
    <row r="61">
      <c r="A61" s="7" t="e">
        <f t="shared" si="14"/>
        <v>#REF!</v>
      </c>
      <c r="B61" s="7" t="str">
        <f>discretizacion!B72</f>
        <v>chico</v>
      </c>
      <c r="C61" s="7" t="str">
        <f>discretizacion!D72</f>
        <v>chico</v>
      </c>
      <c r="D61" s="7" t="str">
        <f>discretizacion!F72</f>
        <v>mediano</v>
      </c>
      <c r="E61" s="7" t="str">
        <f>discretizacion!H72</f>
        <v>mediano</v>
      </c>
      <c r="F61" s="7" t="str">
        <f>discretizacion!I72</f>
        <v>Iris-versicolor</v>
      </c>
    </row>
    <row r="62">
      <c r="A62" s="7" t="e">
        <f t="shared" si="14"/>
        <v>#REF!</v>
      </c>
      <c r="B62" s="7" t="str">
        <f>discretizacion!B73</f>
        <v>chico</v>
      </c>
      <c r="C62" s="7" t="str">
        <f>discretizacion!D73</f>
        <v>chico</v>
      </c>
      <c r="D62" s="7" t="str">
        <f>discretizacion!F73</f>
        <v>mediano</v>
      </c>
      <c r="E62" s="7" t="str">
        <f>discretizacion!H73</f>
        <v>mediano</v>
      </c>
      <c r="F62" s="7" t="str">
        <f>discretizacion!I73</f>
        <v>Iris-versicolor</v>
      </c>
    </row>
    <row r="63">
      <c r="A63" s="7" t="e">
        <f t="shared" si="14"/>
        <v>#REF!</v>
      </c>
      <c r="B63" s="7" t="str">
        <f>discretizacion!B74</f>
        <v>mediano</v>
      </c>
      <c r="C63" s="7" t="str">
        <f>discretizacion!D74</f>
        <v>mediano</v>
      </c>
      <c r="D63" s="7" t="str">
        <f>discretizacion!F74</f>
        <v>mediano</v>
      </c>
      <c r="E63" s="7" t="str">
        <f>discretizacion!H74</f>
        <v>mediano</v>
      </c>
      <c r="F63" s="7" t="str">
        <f>discretizacion!I74</f>
        <v>Iris-versicolor</v>
      </c>
    </row>
    <row r="64">
      <c r="A64" s="7" t="e">
        <f t="shared" si="14"/>
        <v>#REF!</v>
      </c>
      <c r="B64" s="7" t="str">
        <f>discretizacion!B75</f>
        <v>mediano</v>
      </c>
      <c r="C64" s="7" t="str">
        <f>discretizacion!D75</f>
        <v>chico</v>
      </c>
      <c r="D64" s="7" t="str">
        <f>discretizacion!F75</f>
        <v>mediano</v>
      </c>
      <c r="E64" s="7" t="str">
        <f>discretizacion!H75</f>
        <v>mediano</v>
      </c>
      <c r="F64" s="7" t="str">
        <f>discretizacion!I75</f>
        <v>Iris-versicolor</v>
      </c>
    </row>
    <row r="65">
      <c r="A65" s="7" t="e">
        <f t="shared" si="14"/>
        <v>#REF!</v>
      </c>
      <c r="B65" s="7" t="str">
        <f>discretizacion!B76</f>
        <v>mediano</v>
      </c>
      <c r="C65" s="7" t="str">
        <f>discretizacion!D76</f>
        <v>mediano</v>
      </c>
      <c r="D65" s="7" t="str">
        <f>discretizacion!F76</f>
        <v>mediano</v>
      </c>
      <c r="E65" s="7" t="str">
        <f>discretizacion!H76</f>
        <v>mediano</v>
      </c>
      <c r="F65" s="7" t="str">
        <f>discretizacion!I76</f>
        <v>Iris-versicolor</v>
      </c>
    </row>
    <row r="66">
      <c r="A66" s="7" t="e">
        <f t="shared" ref="A66:A129" si="15">discretizacion!#REF!</f>
        <v>#REF!</v>
      </c>
      <c r="B66" s="7" t="str">
        <f>discretizacion!B77</f>
        <v>mediano</v>
      </c>
      <c r="C66" s="7" t="str">
        <f>discretizacion!D77</f>
        <v>mediano</v>
      </c>
      <c r="D66" s="7" t="str">
        <f>discretizacion!F77</f>
        <v>mediano</v>
      </c>
      <c r="E66" s="7" t="str">
        <f>discretizacion!H77</f>
        <v>mediano</v>
      </c>
      <c r="F66" s="7" t="str">
        <f>discretizacion!I77</f>
        <v>Iris-versicolor</v>
      </c>
    </row>
    <row r="67">
      <c r="A67" s="7" t="e">
        <f t="shared" si="15"/>
        <v>#REF!</v>
      </c>
      <c r="B67" s="7" t="str">
        <f>discretizacion!B78</f>
        <v>mediano</v>
      </c>
      <c r="C67" s="7" t="str">
        <f>discretizacion!D78</f>
        <v>mediano</v>
      </c>
      <c r="D67" s="7" t="str">
        <f>discretizacion!F78</f>
        <v>mediano</v>
      </c>
      <c r="E67" s="7" t="str">
        <f>discretizacion!H78</f>
        <v>mediano</v>
      </c>
      <c r="F67" s="7" t="str">
        <f>discretizacion!I78</f>
        <v>Iris-versicolor</v>
      </c>
    </row>
    <row r="68">
      <c r="A68" s="7" t="e">
        <f t="shared" si="15"/>
        <v>#REF!</v>
      </c>
      <c r="B68" s="7" t="str">
        <f>discretizacion!B79</f>
        <v>mediano</v>
      </c>
      <c r="C68" s="7" t="str">
        <f>discretizacion!D79</f>
        <v>mediano</v>
      </c>
      <c r="D68" s="7" t="str">
        <f>discretizacion!F79</f>
        <v>mediano</v>
      </c>
      <c r="E68" s="7" t="str">
        <f>discretizacion!H79</f>
        <v>mediano</v>
      </c>
      <c r="F68" s="7" t="str">
        <f>discretizacion!I79</f>
        <v>Iris-versicolor</v>
      </c>
    </row>
    <row r="69">
      <c r="A69" s="7" t="e">
        <f t="shared" si="15"/>
        <v>#REF!</v>
      </c>
      <c r="B69" s="7" t="str">
        <f>discretizacion!B80</f>
        <v>mediano</v>
      </c>
      <c r="C69" s="7" t="str">
        <f>discretizacion!D80</f>
        <v>chico</v>
      </c>
      <c r="D69" s="7" t="str">
        <f>discretizacion!F80</f>
        <v>mediano</v>
      </c>
      <c r="E69" s="7" t="str">
        <f>discretizacion!H80</f>
        <v>mediano</v>
      </c>
      <c r="F69" s="7" t="str">
        <f>discretizacion!I80</f>
        <v>Iris-versicolor</v>
      </c>
    </row>
    <row r="70">
      <c r="A70" s="7" t="e">
        <f t="shared" si="15"/>
        <v>#REF!</v>
      </c>
      <c r="B70" s="7" t="str">
        <f>discretizacion!B81</f>
        <v>mediano</v>
      </c>
      <c r="C70" s="7" t="str">
        <f>discretizacion!D81</f>
        <v>chico</v>
      </c>
      <c r="D70" s="7" t="str">
        <f>discretizacion!F81</f>
        <v>mediano</v>
      </c>
      <c r="E70" s="7" t="str">
        <f>discretizacion!H81</f>
        <v>mediano</v>
      </c>
      <c r="F70" s="7" t="str">
        <f>discretizacion!I81</f>
        <v>Iris-versicolor</v>
      </c>
    </row>
    <row r="71">
      <c r="A71" s="7" t="e">
        <f t="shared" si="15"/>
        <v>#REF!</v>
      </c>
      <c r="B71" s="7" t="str">
        <f>discretizacion!B82</f>
        <v>mediano</v>
      </c>
      <c r="C71" s="7" t="str">
        <f>discretizacion!D82</f>
        <v>chico</v>
      </c>
      <c r="D71" s="7" t="str">
        <f>discretizacion!F82</f>
        <v>mediano</v>
      </c>
      <c r="E71" s="7" t="str">
        <f>discretizacion!H82</f>
        <v>mediano</v>
      </c>
      <c r="F71" s="7" t="str">
        <f>discretizacion!I82</f>
        <v>Iris-versicolor</v>
      </c>
    </row>
    <row r="72">
      <c r="A72" s="7" t="e">
        <f t="shared" si="15"/>
        <v>#REF!</v>
      </c>
      <c r="B72" s="7" t="str">
        <f>discretizacion!B83</f>
        <v>mediano</v>
      </c>
      <c r="C72" s="7" t="str">
        <f>discretizacion!D83</f>
        <v>mediano</v>
      </c>
      <c r="D72" s="7" t="str">
        <f>discretizacion!F83</f>
        <v>mediano</v>
      </c>
      <c r="E72" s="7" t="str">
        <f>discretizacion!H83</f>
        <v>grande</v>
      </c>
      <c r="F72" s="7" t="str">
        <f>discretizacion!I83</f>
        <v>Iris-versicolor</v>
      </c>
    </row>
    <row r="73">
      <c r="A73" s="7" t="e">
        <f t="shared" si="15"/>
        <v>#REF!</v>
      </c>
      <c r="B73" s="7" t="str">
        <f>discretizacion!B84</f>
        <v>mediano</v>
      </c>
      <c r="C73" s="7" t="str">
        <f>discretizacion!D84</f>
        <v>chico</v>
      </c>
      <c r="D73" s="7" t="str">
        <f>discretizacion!F84</f>
        <v>mediano</v>
      </c>
      <c r="E73" s="7" t="str">
        <f>discretizacion!H84</f>
        <v>mediano</v>
      </c>
      <c r="F73" s="7" t="str">
        <f>discretizacion!I84</f>
        <v>Iris-versicolor</v>
      </c>
    </row>
    <row r="74">
      <c r="A74" s="7" t="e">
        <f t="shared" si="15"/>
        <v>#REF!</v>
      </c>
      <c r="B74" s="7" t="str">
        <f>discretizacion!B85</f>
        <v>mediano</v>
      </c>
      <c r="C74" s="7" t="str">
        <f>discretizacion!D85</f>
        <v>chico</v>
      </c>
      <c r="D74" s="7" t="str">
        <f>discretizacion!F85</f>
        <v>mediano</v>
      </c>
      <c r="E74" s="7" t="str">
        <f>discretizacion!H85</f>
        <v>mediano</v>
      </c>
      <c r="F74" s="7" t="str">
        <f>discretizacion!I85</f>
        <v>Iris-versicolor</v>
      </c>
    </row>
    <row r="75">
      <c r="A75" s="7" t="e">
        <f t="shared" si="15"/>
        <v>#REF!</v>
      </c>
      <c r="B75" s="7" t="str">
        <f>discretizacion!B86</f>
        <v>mediano</v>
      </c>
      <c r="C75" s="7" t="str">
        <f>discretizacion!D86</f>
        <v>chico</v>
      </c>
      <c r="D75" s="7" t="str">
        <f>discretizacion!F86</f>
        <v>mediano</v>
      </c>
      <c r="E75" s="7" t="str">
        <f>discretizacion!H86</f>
        <v>mediano</v>
      </c>
      <c r="F75" s="7" t="str">
        <f>discretizacion!I86</f>
        <v>Iris-versicolor</v>
      </c>
    </row>
    <row r="76">
      <c r="A76" s="7" t="e">
        <f t="shared" si="15"/>
        <v>#REF!</v>
      </c>
      <c r="B76" s="7" t="str">
        <f>discretizacion!B87</f>
        <v>mediano</v>
      </c>
      <c r="C76" s="7" t="str">
        <f>discretizacion!D87</f>
        <v>mediano</v>
      </c>
      <c r="D76" s="7" t="str">
        <f>discretizacion!F87</f>
        <v>mediano</v>
      </c>
      <c r="E76" s="7" t="str">
        <f>discretizacion!H87</f>
        <v>mediano</v>
      </c>
      <c r="F76" s="7" t="str">
        <f>discretizacion!I87</f>
        <v>Iris-versicolor</v>
      </c>
    </row>
    <row r="77">
      <c r="A77" s="7" t="e">
        <f t="shared" si="15"/>
        <v>#REF!</v>
      </c>
      <c r="B77" s="7" t="str">
        <f>discretizacion!B88</f>
        <v>mediano</v>
      </c>
      <c r="C77" s="7" t="str">
        <f>discretizacion!D88</f>
        <v>mediano</v>
      </c>
      <c r="D77" s="7" t="str">
        <f>discretizacion!F88</f>
        <v>mediano</v>
      </c>
      <c r="E77" s="7" t="str">
        <f>discretizacion!H88</f>
        <v>mediano</v>
      </c>
      <c r="F77" s="7" t="str">
        <f>discretizacion!I88</f>
        <v>Iris-versicolor</v>
      </c>
    </row>
    <row r="78">
      <c r="A78" s="7" t="e">
        <f t="shared" si="15"/>
        <v>#REF!</v>
      </c>
      <c r="B78" s="7" t="str">
        <f>discretizacion!B89</f>
        <v>grande</v>
      </c>
      <c r="C78" s="7" t="str">
        <f>discretizacion!D89</f>
        <v>chico</v>
      </c>
      <c r="D78" s="7" t="str">
        <f>discretizacion!F89</f>
        <v>mediano</v>
      </c>
      <c r="E78" s="7" t="str">
        <f>discretizacion!H89</f>
        <v>mediano</v>
      </c>
      <c r="F78" s="7" t="str">
        <f>discretizacion!I89</f>
        <v>Iris-versicolor</v>
      </c>
    </row>
    <row r="79">
      <c r="A79" s="7" t="e">
        <f t="shared" si="15"/>
        <v>#REF!</v>
      </c>
      <c r="B79" s="7" t="str">
        <f>discretizacion!B90</f>
        <v>mediano</v>
      </c>
      <c r="C79" s="7" t="str">
        <f>discretizacion!D90</f>
        <v>mediano</v>
      </c>
      <c r="D79" s="7" t="str">
        <f>discretizacion!F90</f>
        <v>grande</v>
      </c>
      <c r="E79" s="7" t="str">
        <f>discretizacion!H90</f>
        <v>mediano</v>
      </c>
      <c r="F79" s="7" t="str">
        <f>discretizacion!I90</f>
        <v>Iris-versicolor</v>
      </c>
    </row>
    <row r="80">
      <c r="A80" s="7" t="e">
        <f t="shared" si="15"/>
        <v>#REF!</v>
      </c>
      <c r="B80" s="7" t="str">
        <f>discretizacion!B91</f>
        <v>mediano</v>
      </c>
      <c r="C80" s="7" t="str">
        <f>discretizacion!D91</f>
        <v>mediano</v>
      </c>
      <c r="D80" s="7" t="str">
        <f>discretizacion!F91</f>
        <v>mediano</v>
      </c>
      <c r="E80" s="7" t="str">
        <f>discretizacion!H91</f>
        <v>mediano</v>
      </c>
      <c r="F80" s="7" t="str">
        <f>discretizacion!I91</f>
        <v>Iris-versicolor</v>
      </c>
    </row>
    <row r="81">
      <c r="A81" s="7" t="e">
        <f t="shared" si="15"/>
        <v>#REF!</v>
      </c>
      <c r="B81" s="7" t="str">
        <f>discretizacion!B92</f>
        <v>mediano</v>
      </c>
      <c r="C81" s="7" t="str">
        <f>discretizacion!D92</f>
        <v>chico</v>
      </c>
      <c r="D81" s="7" t="str">
        <f>discretizacion!F92</f>
        <v>mediano</v>
      </c>
      <c r="E81" s="7" t="str">
        <f>discretizacion!H92</f>
        <v>mediano</v>
      </c>
      <c r="F81" s="7" t="str">
        <f>discretizacion!I92</f>
        <v>Iris-versicolor</v>
      </c>
    </row>
    <row r="82">
      <c r="A82" s="7" t="e">
        <f t="shared" si="15"/>
        <v>#REF!</v>
      </c>
      <c r="B82" s="7" t="str">
        <f>discretizacion!B93</f>
        <v>chico</v>
      </c>
      <c r="C82" s="7" t="str">
        <f>discretizacion!D93</f>
        <v>chico</v>
      </c>
      <c r="D82" s="7" t="str">
        <f>discretizacion!F93</f>
        <v>mediano</v>
      </c>
      <c r="E82" s="7" t="str">
        <f>discretizacion!H93</f>
        <v>mediano</v>
      </c>
      <c r="F82" s="7" t="str">
        <f>discretizacion!I93</f>
        <v>Iris-versicolor</v>
      </c>
    </row>
    <row r="83">
      <c r="A83" s="7" t="e">
        <f t="shared" si="15"/>
        <v>#REF!</v>
      </c>
      <c r="B83" s="7" t="str">
        <f>discretizacion!B94</f>
        <v>chico</v>
      </c>
      <c r="C83" s="7" t="str">
        <f>discretizacion!D94</f>
        <v>chico</v>
      </c>
      <c r="D83" s="7" t="str">
        <f>discretizacion!F94</f>
        <v>mediano</v>
      </c>
      <c r="E83" s="7" t="str">
        <f>discretizacion!H94</f>
        <v>mediano</v>
      </c>
      <c r="F83" s="7" t="str">
        <f>discretizacion!I94</f>
        <v>Iris-versicolor</v>
      </c>
    </row>
    <row r="84">
      <c r="A84" s="7" t="e">
        <f t="shared" si="15"/>
        <v>#REF!</v>
      </c>
      <c r="B84" s="7" t="str">
        <f>discretizacion!B95</f>
        <v>mediano</v>
      </c>
      <c r="C84" s="7" t="str">
        <f>discretizacion!D95</f>
        <v>chico</v>
      </c>
      <c r="D84" s="7" t="str">
        <f>discretizacion!F95</f>
        <v>mediano</v>
      </c>
      <c r="E84" s="7" t="str">
        <f>discretizacion!H95</f>
        <v>mediano</v>
      </c>
      <c r="F84" s="7" t="str">
        <f>discretizacion!I95</f>
        <v>Iris-versicolor</v>
      </c>
    </row>
    <row r="85">
      <c r="A85" s="7" t="e">
        <f t="shared" si="15"/>
        <v>#REF!</v>
      </c>
      <c r="B85" s="7" t="str">
        <f>discretizacion!B96</f>
        <v>mediano</v>
      </c>
      <c r="C85" s="7" t="str">
        <f>discretizacion!D96</f>
        <v>chico</v>
      </c>
      <c r="D85" s="7" t="str">
        <f>discretizacion!F96</f>
        <v>grande</v>
      </c>
      <c r="E85" s="7" t="str">
        <f>discretizacion!H96</f>
        <v>mediano</v>
      </c>
      <c r="F85" s="7" t="str">
        <f>discretizacion!I96</f>
        <v>Iris-versicolor</v>
      </c>
    </row>
    <row r="86">
      <c r="A86" s="7" t="e">
        <f t="shared" si="15"/>
        <v>#REF!</v>
      </c>
      <c r="B86" s="7" t="str">
        <f>discretizacion!B97</f>
        <v>chico</v>
      </c>
      <c r="C86" s="7" t="str">
        <f>discretizacion!D97</f>
        <v>mediano</v>
      </c>
      <c r="D86" s="7" t="str">
        <f>discretizacion!F97</f>
        <v>mediano</v>
      </c>
      <c r="E86" s="7" t="str">
        <f>discretizacion!H97</f>
        <v>mediano</v>
      </c>
      <c r="F86" s="7" t="str">
        <f>discretizacion!I97</f>
        <v>Iris-versicolor</v>
      </c>
    </row>
    <row r="87">
      <c r="A87" s="7" t="e">
        <f t="shared" si="15"/>
        <v>#REF!</v>
      </c>
      <c r="B87" s="7" t="str">
        <f>discretizacion!B98</f>
        <v>mediano</v>
      </c>
      <c r="C87" s="7" t="str">
        <f>discretizacion!D98</f>
        <v>mediano</v>
      </c>
      <c r="D87" s="7" t="str">
        <f>discretizacion!F98</f>
        <v>mediano</v>
      </c>
      <c r="E87" s="7" t="str">
        <f>discretizacion!H98</f>
        <v>mediano</v>
      </c>
      <c r="F87" s="7" t="str">
        <f>discretizacion!I98</f>
        <v>Iris-versicolor</v>
      </c>
    </row>
    <row r="88">
      <c r="A88" s="7" t="e">
        <f t="shared" si="15"/>
        <v>#REF!</v>
      </c>
      <c r="B88" s="7" t="str">
        <f>discretizacion!B99</f>
        <v>mediano</v>
      </c>
      <c r="C88" s="7" t="str">
        <f>discretizacion!D99</f>
        <v>mediano</v>
      </c>
      <c r="D88" s="7" t="str">
        <f>discretizacion!F99</f>
        <v>mediano</v>
      </c>
      <c r="E88" s="7" t="str">
        <f>discretizacion!H99</f>
        <v>mediano</v>
      </c>
      <c r="F88" s="7" t="str">
        <f>discretizacion!I99</f>
        <v>Iris-versicolor</v>
      </c>
    </row>
    <row r="89">
      <c r="A89" s="7" t="e">
        <f t="shared" si="15"/>
        <v>#REF!</v>
      </c>
      <c r="B89" s="7" t="str">
        <f>discretizacion!B100</f>
        <v>mediano</v>
      </c>
      <c r="C89" s="7" t="str">
        <f>discretizacion!D100</f>
        <v>chico</v>
      </c>
      <c r="D89" s="7" t="str">
        <f>discretizacion!F100</f>
        <v>mediano</v>
      </c>
      <c r="E89" s="7" t="str">
        <f>discretizacion!H100</f>
        <v>mediano</v>
      </c>
      <c r="F89" s="7" t="str">
        <f>discretizacion!I100</f>
        <v>Iris-versicolor</v>
      </c>
    </row>
    <row r="90">
      <c r="A90" s="7" t="e">
        <f t="shared" si="15"/>
        <v>#REF!</v>
      </c>
      <c r="B90" s="7" t="str">
        <f>discretizacion!B101</f>
        <v>mediano</v>
      </c>
      <c r="C90" s="7" t="str">
        <f>discretizacion!D101</f>
        <v>mediano</v>
      </c>
      <c r="D90" s="7" t="str">
        <f>discretizacion!F101</f>
        <v>mediano</v>
      </c>
      <c r="E90" s="7" t="str">
        <f>discretizacion!H101</f>
        <v>mediano</v>
      </c>
      <c r="F90" s="7" t="str">
        <f>discretizacion!I101</f>
        <v>Iris-versicolor</v>
      </c>
    </row>
    <row r="91">
      <c r="A91" s="7" t="e">
        <f t="shared" si="15"/>
        <v>#REF!</v>
      </c>
      <c r="B91" s="7" t="str">
        <f>discretizacion!B102</f>
        <v>chico</v>
      </c>
      <c r="C91" s="7" t="str">
        <f>discretizacion!D102</f>
        <v>chico</v>
      </c>
      <c r="D91" s="7" t="str">
        <f>discretizacion!F102</f>
        <v>mediano</v>
      </c>
      <c r="E91" s="7" t="str">
        <f>discretizacion!H102</f>
        <v>mediano</v>
      </c>
      <c r="F91" s="7" t="str">
        <f>discretizacion!I102</f>
        <v>Iris-versicolor</v>
      </c>
    </row>
    <row r="92">
      <c r="A92" s="7" t="e">
        <f t="shared" si="15"/>
        <v>#REF!</v>
      </c>
      <c r="B92" s="7" t="str">
        <f>discretizacion!B103</f>
        <v>chico</v>
      </c>
      <c r="C92" s="7" t="str">
        <f>discretizacion!D103</f>
        <v>chico</v>
      </c>
      <c r="D92" s="7" t="str">
        <f>discretizacion!F103</f>
        <v>mediano</v>
      </c>
      <c r="E92" s="7" t="str">
        <f>discretizacion!H103</f>
        <v>mediano</v>
      </c>
      <c r="F92" s="7" t="str">
        <f>discretizacion!I103</f>
        <v>Iris-versicolor</v>
      </c>
    </row>
    <row r="93">
      <c r="A93" s="7" t="e">
        <f t="shared" si="15"/>
        <v>#REF!</v>
      </c>
      <c r="B93" s="7" t="str">
        <f>discretizacion!B104</f>
        <v>mediano</v>
      </c>
      <c r="C93" s="7" t="str">
        <f>discretizacion!D104</f>
        <v>mediano</v>
      </c>
      <c r="D93" s="7" t="str">
        <f>discretizacion!F104</f>
        <v>mediano</v>
      </c>
      <c r="E93" s="7" t="str">
        <f>discretizacion!H104</f>
        <v>mediano</v>
      </c>
      <c r="F93" s="7" t="str">
        <f>discretizacion!I104</f>
        <v>Iris-versicolor</v>
      </c>
    </row>
    <row r="94">
      <c r="A94" s="7" t="e">
        <f t="shared" si="15"/>
        <v>#REF!</v>
      </c>
      <c r="B94" s="7" t="str">
        <f>discretizacion!B105</f>
        <v>mediano</v>
      </c>
      <c r="C94" s="7" t="str">
        <f>discretizacion!D105</f>
        <v>chico</v>
      </c>
      <c r="D94" s="7" t="str">
        <f>discretizacion!F105</f>
        <v>mediano</v>
      </c>
      <c r="E94" s="7" t="str">
        <f>discretizacion!H105</f>
        <v>mediano</v>
      </c>
      <c r="F94" s="7" t="str">
        <f>discretizacion!I105</f>
        <v>Iris-versicolor</v>
      </c>
    </row>
    <row r="95">
      <c r="A95" s="7" t="e">
        <f t="shared" si="15"/>
        <v>#REF!</v>
      </c>
      <c r="B95" s="7" t="str">
        <f>discretizacion!B106</f>
        <v>chico</v>
      </c>
      <c r="C95" s="7" t="str">
        <f>discretizacion!D106</f>
        <v>chico</v>
      </c>
      <c r="D95" s="7" t="str">
        <f>discretizacion!F106</f>
        <v>mediano</v>
      </c>
      <c r="E95" s="7" t="str">
        <f>discretizacion!H106</f>
        <v>mediano</v>
      </c>
      <c r="F95" s="7" t="str">
        <f>discretizacion!I106</f>
        <v>Iris-versicolor</v>
      </c>
    </row>
    <row r="96">
      <c r="A96" s="7" t="e">
        <f t="shared" si="15"/>
        <v>#REF!</v>
      </c>
      <c r="B96" s="7" t="str">
        <f>discretizacion!B107</f>
        <v>mediano</v>
      </c>
      <c r="C96" s="7" t="str">
        <f>discretizacion!D107</f>
        <v>chico</v>
      </c>
      <c r="D96" s="7" t="str">
        <f>discretizacion!F107</f>
        <v>mediano</v>
      </c>
      <c r="E96" s="7" t="str">
        <f>discretizacion!H107</f>
        <v>mediano</v>
      </c>
      <c r="F96" s="7" t="str">
        <f>discretizacion!I107</f>
        <v>Iris-versicolor</v>
      </c>
    </row>
    <row r="97">
      <c r="A97" s="7" t="e">
        <f t="shared" si="15"/>
        <v>#REF!</v>
      </c>
      <c r="B97" s="7" t="str">
        <f>discretizacion!B108</f>
        <v>mediano</v>
      </c>
      <c r="C97" s="7" t="str">
        <f>discretizacion!D108</f>
        <v>mediano</v>
      </c>
      <c r="D97" s="7" t="str">
        <f>discretizacion!F108</f>
        <v>mediano</v>
      </c>
      <c r="E97" s="7" t="str">
        <f>discretizacion!H108</f>
        <v>mediano</v>
      </c>
      <c r="F97" s="7" t="str">
        <f>discretizacion!I108</f>
        <v>Iris-versicolor</v>
      </c>
    </row>
    <row r="98">
      <c r="A98" s="7" t="e">
        <f t="shared" si="15"/>
        <v>#REF!</v>
      </c>
      <c r="B98" s="7" t="str">
        <f>discretizacion!B109</f>
        <v>mediano</v>
      </c>
      <c r="C98" s="7" t="str">
        <f>discretizacion!D109</f>
        <v>mediano</v>
      </c>
      <c r="D98" s="7" t="str">
        <f>discretizacion!F109</f>
        <v>mediano</v>
      </c>
      <c r="E98" s="7" t="str">
        <f>discretizacion!H109</f>
        <v>mediano</v>
      </c>
      <c r="F98" s="7" t="str">
        <f>discretizacion!I109</f>
        <v>Iris-versicolor</v>
      </c>
    </row>
    <row r="99">
      <c r="A99" s="7" t="e">
        <f t="shared" si="15"/>
        <v>#REF!</v>
      </c>
      <c r="B99" s="7" t="str">
        <f>discretizacion!B110</f>
        <v>mediano</v>
      </c>
      <c r="C99" s="7" t="str">
        <f>discretizacion!D110</f>
        <v>mediano</v>
      </c>
      <c r="D99" s="7" t="str">
        <f>discretizacion!F110</f>
        <v>mediano</v>
      </c>
      <c r="E99" s="7" t="str">
        <f>discretizacion!H110</f>
        <v>mediano</v>
      </c>
      <c r="F99" s="7" t="str">
        <f>discretizacion!I110</f>
        <v>Iris-versicolor</v>
      </c>
    </row>
    <row r="100">
      <c r="A100" s="7" t="e">
        <f t="shared" si="15"/>
        <v>#REF!</v>
      </c>
      <c r="B100" s="7" t="str">
        <f>discretizacion!B111</f>
        <v>chico</v>
      </c>
      <c r="C100" s="7" t="str">
        <f>discretizacion!D111</f>
        <v>chico</v>
      </c>
      <c r="D100" s="7" t="str">
        <f>discretizacion!F111</f>
        <v>mediano</v>
      </c>
      <c r="E100" s="7" t="str">
        <f>discretizacion!H111</f>
        <v>mediano</v>
      </c>
      <c r="F100" s="7" t="str">
        <f>discretizacion!I111</f>
        <v>Iris-versicolor</v>
      </c>
    </row>
    <row r="101">
      <c r="A101" s="7" t="e">
        <f t="shared" si="15"/>
        <v>#REF!</v>
      </c>
      <c r="B101" s="7" t="str">
        <f>discretizacion!B112</f>
        <v>mediano</v>
      </c>
      <c r="C101" s="7" t="str">
        <f>discretizacion!D112</f>
        <v>chico</v>
      </c>
      <c r="D101" s="7" t="str">
        <f>discretizacion!F112</f>
        <v>mediano</v>
      </c>
      <c r="E101" s="7" t="str">
        <f>discretizacion!H112</f>
        <v>mediano</v>
      </c>
      <c r="F101" s="7" t="str">
        <f>discretizacion!I112</f>
        <v>Iris-versicolor</v>
      </c>
    </row>
    <row r="102">
      <c r="A102" s="7" t="e">
        <f t="shared" si="15"/>
        <v>#REF!</v>
      </c>
      <c r="B102" s="7" t="str">
        <f>discretizacion!B113</f>
        <v>mediano</v>
      </c>
      <c r="C102" s="7" t="str">
        <f>discretizacion!D113</f>
        <v>mediano</v>
      </c>
      <c r="D102" s="7" t="str">
        <f>discretizacion!F113</f>
        <v>grande</v>
      </c>
      <c r="E102" s="7" t="str">
        <f>discretizacion!H113</f>
        <v>grande</v>
      </c>
      <c r="F102" s="7" t="str">
        <f>discretizacion!I113</f>
        <v>Iris-virginica</v>
      </c>
    </row>
    <row r="103">
      <c r="A103" s="7" t="e">
        <f t="shared" si="15"/>
        <v>#REF!</v>
      </c>
      <c r="B103" s="7" t="str">
        <f>discretizacion!B114</f>
        <v>mediano</v>
      </c>
      <c r="C103" s="7" t="str">
        <f>discretizacion!D114</f>
        <v>chico</v>
      </c>
      <c r="D103" s="7" t="str">
        <f>discretizacion!F114</f>
        <v>grande</v>
      </c>
      <c r="E103" s="7" t="str">
        <f>discretizacion!H114</f>
        <v>grande</v>
      </c>
      <c r="F103" s="7" t="str">
        <f>discretizacion!I114</f>
        <v>Iris-virginica</v>
      </c>
    </row>
    <row r="104">
      <c r="A104" s="7" t="e">
        <f t="shared" si="15"/>
        <v>#REF!</v>
      </c>
      <c r="B104" s="7" t="str">
        <f>discretizacion!B115</f>
        <v>grande</v>
      </c>
      <c r="C104" s="7" t="str">
        <f>discretizacion!D115</f>
        <v>mediano</v>
      </c>
      <c r="D104" s="7" t="str">
        <f>discretizacion!F115</f>
        <v>grande</v>
      </c>
      <c r="E104" s="7" t="str">
        <f>discretizacion!H115</f>
        <v>grande</v>
      </c>
      <c r="F104" s="7" t="str">
        <f>discretizacion!I115</f>
        <v>Iris-virginica</v>
      </c>
    </row>
    <row r="105">
      <c r="A105" s="7" t="e">
        <f t="shared" si="15"/>
        <v>#REF!</v>
      </c>
      <c r="B105" s="7" t="str">
        <f>discretizacion!B116</f>
        <v>mediano</v>
      </c>
      <c r="C105" s="7" t="str">
        <f>discretizacion!D116</f>
        <v>mediano</v>
      </c>
      <c r="D105" s="7" t="str">
        <f>discretizacion!F116</f>
        <v>grande</v>
      </c>
      <c r="E105" s="7" t="str">
        <f>discretizacion!H116</f>
        <v>grande</v>
      </c>
      <c r="F105" s="7" t="str">
        <f>discretizacion!I116</f>
        <v>Iris-virginica</v>
      </c>
    </row>
    <row r="106">
      <c r="A106" s="7" t="e">
        <f t="shared" si="15"/>
        <v>#REF!</v>
      </c>
      <c r="B106" s="7" t="str">
        <f>discretizacion!B117</f>
        <v>mediano</v>
      </c>
      <c r="C106" s="7" t="str">
        <f>discretizacion!D117</f>
        <v>mediano</v>
      </c>
      <c r="D106" s="7" t="str">
        <f>discretizacion!F117</f>
        <v>grande</v>
      </c>
      <c r="E106" s="7" t="str">
        <f>discretizacion!H117</f>
        <v>grande</v>
      </c>
      <c r="F106" s="7" t="str">
        <f>discretizacion!I117</f>
        <v>Iris-virginica</v>
      </c>
    </row>
    <row r="107">
      <c r="A107" s="7" t="e">
        <f t="shared" si="15"/>
        <v>#REF!</v>
      </c>
      <c r="B107" s="7" t="str">
        <f>discretizacion!B118</f>
        <v>grande</v>
      </c>
      <c r="C107" s="7" t="str">
        <f>discretizacion!D118</f>
        <v>mediano</v>
      </c>
      <c r="D107" s="7" t="str">
        <f>discretizacion!F118</f>
        <v>grande</v>
      </c>
      <c r="E107" s="7" t="str">
        <f>discretizacion!H118</f>
        <v>grande</v>
      </c>
      <c r="F107" s="7" t="str">
        <f>discretizacion!I118</f>
        <v>Iris-virginica</v>
      </c>
    </row>
    <row r="108">
      <c r="A108" s="7" t="e">
        <f t="shared" si="15"/>
        <v>#REF!</v>
      </c>
      <c r="B108" s="7" t="str">
        <f>discretizacion!B119</f>
        <v>chico</v>
      </c>
      <c r="C108" s="7" t="str">
        <f>discretizacion!D119</f>
        <v>chico</v>
      </c>
      <c r="D108" s="7" t="str">
        <f>discretizacion!F119</f>
        <v>mediano</v>
      </c>
      <c r="E108" s="7" t="str">
        <f>discretizacion!H119</f>
        <v>mediano</v>
      </c>
      <c r="F108" s="7" t="str">
        <f>discretizacion!I119</f>
        <v>Iris-virginica</v>
      </c>
    </row>
    <row r="109">
      <c r="A109" s="7" t="e">
        <f t="shared" si="15"/>
        <v>#REF!</v>
      </c>
      <c r="B109" s="7" t="str">
        <f>discretizacion!B120</f>
        <v>grande</v>
      </c>
      <c r="C109" s="7" t="str">
        <f>discretizacion!D120</f>
        <v>mediano</v>
      </c>
      <c r="D109" s="7" t="str">
        <f>discretizacion!F120</f>
        <v>grande</v>
      </c>
      <c r="E109" s="7" t="str">
        <f>discretizacion!H120</f>
        <v>grande</v>
      </c>
      <c r="F109" s="7" t="str">
        <f>discretizacion!I120</f>
        <v>Iris-virginica</v>
      </c>
    </row>
    <row r="110">
      <c r="A110" s="7" t="e">
        <f t="shared" si="15"/>
        <v>#REF!</v>
      </c>
      <c r="B110" s="7" t="str">
        <f>discretizacion!B121</f>
        <v>mediano</v>
      </c>
      <c r="C110" s="7" t="str">
        <f>discretizacion!D121</f>
        <v>chico</v>
      </c>
      <c r="D110" s="7" t="str">
        <f>discretizacion!F121</f>
        <v>grande</v>
      </c>
      <c r="E110" s="7" t="str">
        <f>discretizacion!H121</f>
        <v>grande</v>
      </c>
      <c r="F110" s="7" t="str">
        <f>discretizacion!I121</f>
        <v>Iris-virginica</v>
      </c>
    </row>
    <row r="111">
      <c r="A111" s="7" t="e">
        <f t="shared" si="15"/>
        <v>#REF!</v>
      </c>
      <c r="B111" s="7" t="str">
        <f>discretizacion!B122</f>
        <v>grande</v>
      </c>
      <c r="C111" s="7" t="str">
        <f>discretizacion!D122</f>
        <v>mediano</v>
      </c>
      <c r="D111" s="7" t="str">
        <f>discretizacion!F122</f>
        <v>grande</v>
      </c>
      <c r="E111" s="7" t="str">
        <f>discretizacion!H122</f>
        <v>grande</v>
      </c>
      <c r="F111" s="7" t="str">
        <f>discretizacion!I122</f>
        <v>Iris-virginica</v>
      </c>
    </row>
    <row r="112">
      <c r="A112" s="7" t="e">
        <f t="shared" si="15"/>
        <v>#REF!</v>
      </c>
      <c r="B112" s="7" t="str">
        <f>discretizacion!B123</f>
        <v>mediano</v>
      </c>
      <c r="C112" s="7" t="str">
        <f>discretizacion!D123</f>
        <v>mediano</v>
      </c>
      <c r="D112" s="7" t="str">
        <f>discretizacion!F123</f>
        <v>grande</v>
      </c>
      <c r="E112" s="7" t="str">
        <f>discretizacion!H123</f>
        <v>grande</v>
      </c>
      <c r="F112" s="7" t="str">
        <f>discretizacion!I123</f>
        <v>Iris-virginica</v>
      </c>
    </row>
    <row r="113">
      <c r="A113" s="7" t="e">
        <f t="shared" si="15"/>
        <v>#REF!</v>
      </c>
      <c r="B113" s="7" t="str">
        <f>discretizacion!B124</f>
        <v>mediano</v>
      </c>
      <c r="C113" s="7" t="str">
        <f>discretizacion!D124</f>
        <v>chico</v>
      </c>
      <c r="D113" s="7" t="str">
        <f>discretizacion!F124</f>
        <v>grande</v>
      </c>
      <c r="E113" s="7" t="str">
        <f>discretizacion!H124</f>
        <v>grande</v>
      </c>
      <c r="F113" s="7" t="str">
        <f>discretizacion!I124</f>
        <v>Iris-virginica</v>
      </c>
    </row>
    <row r="114">
      <c r="A114" s="7" t="e">
        <f t="shared" si="15"/>
        <v>#REF!</v>
      </c>
      <c r="B114" s="7" t="str">
        <f>discretizacion!B125</f>
        <v>grande</v>
      </c>
      <c r="C114" s="7" t="str">
        <f>discretizacion!D125</f>
        <v>mediano</v>
      </c>
      <c r="D114" s="7" t="str">
        <f>discretizacion!F125</f>
        <v>grande</v>
      </c>
      <c r="E114" s="7" t="str">
        <f>discretizacion!H125</f>
        <v>grande</v>
      </c>
      <c r="F114" s="7" t="str">
        <f>discretizacion!I125</f>
        <v>Iris-virginica</v>
      </c>
    </row>
    <row r="115">
      <c r="A115" s="7" t="e">
        <f t="shared" si="15"/>
        <v>#REF!</v>
      </c>
      <c r="B115" s="7" t="str">
        <f>discretizacion!B126</f>
        <v>mediano</v>
      </c>
      <c r="C115" s="7" t="str">
        <f>discretizacion!D126</f>
        <v>chico</v>
      </c>
      <c r="D115" s="7" t="str">
        <f>discretizacion!F126</f>
        <v>grande</v>
      </c>
      <c r="E115" s="7" t="str">
        <f>discretizacion!H126</f>
        <v>grande</v>
      </c>
      <c r="F115" s="7" t="str">
        <f>discretizacion!I126</f>
        <v>Iris-virginica</v>
      </c>
    </row>
    <row r="116">
      <c r="A116" s="7" t="e">
        <f t="shared" si="15"/>
        <v>#REF!</v>
      </c>
      <c r="B116" s="7" t="str">
        <f>discretizacion!B127</f>
        <v>mediano</v>
      </c>
      <c r="C116" s="7" t="str">
        <f>discretizacion!D127</f>
        <v>chico</v>
      </c>
      <c r="D116" s="7" t="str">
        <f>discretizacion!F127</f>
        <v>grande</v>
      </c>
      <c r="E116" s="7" t="str">
        <f>discretizacion!H127</f>
        <v>grande</v>
      </c>
      <c r="F116" s="7" t="str">
        <f>discretizacion!I127</f>
        <v>Iris-virginica</v>
      </c>
    </row>
    <row r="117">
      <c r="A117" s="7" t="e">
        <f t="shared" si="15"/>
        <v>#REF!</v>
      </c>
      <c r="B117" s="7" t="str">
        <f>discretizacion!B128</f>
        <v>mediano</v>
      </c>
      <c r="C117" s="7" t="str">
        <f>discretizacion!D128</f>
        <v>mediano</v>
      </c>
      <c r="D117" s="7" t="str">
        <f>discretizacion!F128</f>
        <v>grande</v>
      </c>
      <c r="E117" s="7" t="str">
        <f>discretizacion!H128</f>
        <v>grande</v>
      </c>
      <c r="F117" s="7" t="str">
        <f>discretizacion!I128</f>
        <v>Iris-virginica</v>
      </c>
    </row>
    <row r="118">
      <c r="A118" s="7" t="e">
        <f t="shared" si="15"/>
        <v>#REF!</v>
      </c>
      <c r="B118" s="7" t="str">
        <f>discretizacion!B129</f>
        <v>mediano</v>
      </c>
      <c r="C118" s="7" t="str">
        <f>discretizacion!D129</f>
        <v>mediano</v>
      </c>
      <c r="D118" s="7" t="str">
        <f>discretizacion!F129</f>
        <v>grande</v>
      </c>
      <c r="E118" s="7" t="str">
        <f>discretizacion!H129</f>
        <v>grande</v>
      </c>
      <c r="F118" s="7" t="str">
        <f>discretizacion!I129</f>
        <v>Iris-virginica</v>
      </c>
    </row>
    <row r="119">
      <c r="A119" s="7" t="e">
        <f t="shared" si="15"/>
        <v>#REF!</v>
      </c>
      <c r="B119" s="7" t="str">
        <f>discretizacion!B130</f>
        <v>grande</v>
      </c>
      <c r="C119" s="7" t="str">
        <f>discretizacion!D130</f>
        <v>grande</v>
      </c>
      <c r="D119" s="7" t="str">
        <f>discretizacion!F130</f>
        <v>grande</v>
      </c>
      <c r="E119" s="7" t="str">
        <f>discretizacion!H130</f>
        <v>grande</v>
      </c>
      <c r="F119" s="7" t="str">
        <f>discretizacion!I130</f>
        <v>Iris-virginica</v>
      </c>
    </row>
    <row r="120">
      <c r="A120" s="7" t="e">
        <f t="shared" si="15"/>
        <v>#REF!</v>
      </c>
      <c r="B120" s="7" t="str">
        <f>discretizacion!B131</f>
        <v>grande</v>
      </c>
      <c r="C120" s="7" t="str">
        <f>discretizacion!D131</f>
        <v>chico</v>
      </c>
      <c r="D120" s="7" t="str">
        <f>discretizacion!F131</f>
        <v>grande</v>
      </c>
      <c r="E120" s="7" t="str">
        <f>discretizacion!H131</f>
        <v>grande</v>
      </c>
      <c r="F120" s="7" t="str">
        <f>discretizacion!I131</f>
        <v>Iris-virginica</v>
      </c>
    </row>
    <row r="121">
      <c r="A121" s="7" t="e">
        <f t="shared" si="15"/>
        <v>#REF!</v>
      </c>
      <c r="B121" s="7" t="str">
        <f>discretizacion!B132</f>
        <v>mediano</v>
      </c>
      <c r="C121" s="7" t="str">
        <f>discretizacion!D132</f>
        <v>chico</v>
      </c>
      <c r="D121" s="7" t="str">
        <f>discretizacion!F132</f>
        <v>grande</v>
      </c>
      <c r="E121" s="7" t="str">
        <f>discretizacion!H132</f>
        <v>mediano</v>
      </c>
      <c r="F121" s="7" t="str">
        <f>discretizacion!I132</f>
        <v>Iris-virginica</v>
      </c>
    </row>
    <row r="122">
      <c r="A122" s="7" t="e">
        <f t="shared" si="15"/>
        <v>#REF!</v>
      </c>
      <c r="B122" s="7" t="str">
        <f>discretizacion!B133</f>
        <v>grande</v>
      </c>
      <c r="C122" s="7" t="str">
        <f>discretizacion!D133</f>
        <v>mediano</v>
      </c>
      <c r="D122" s="7" t="str">
        <f>discretizacion!F133</f>
        <v>grande</v>
      </c>
      <c r="E122" s="7" t="str">
        <f>discretizacion!H133</f>
        <v>grande</v>
      </c>
      <c r="F122" s="7" t="str">
        <f>discretizacion!I133</f>
        <v>Iris-virginica</v>
      </c>
    </row>
    <row r="123">
      <c r="A123" s="7" t="e">
        <f t="shared" si="15"/>
        <v>#REF!</v>
      </c>
      <c r="B123" s="7" t="str">
        <f>discretizacion!B134</f>
        <v>mediano</v>
      </c>
      <c r="C123" s="7" t="str">
        <f>discretizacion!D134</f>
        <v>chico</v>
      </c>
      <c r="D123" s="7" t="str">
        <f>discretizacion!F134</f>
        <v>mediano</v>
      </c>
      <c r="E123" s="7" t="str">
        <f>discretizacion!H134</f>
        <v>grande</v>
      </c>
      <c r="F123" s="7" t="str">
        <f>discretizacion!I134</f>
        <v>Iris-virginica</v>
      </c>
    </row>
    <row r="124">
      <c r="A124" s="7" t="e">
        <f t="shared" si="15"/>
        <v>#REF!</v>
      </c>
      <c r="B124" s="7" t="str">
        <f>discretizacion!B135</f>
        <v>grande</v>
      </c>
      <c r="C124" s="7" t="str">
        <f>discretizacion!D135</f>
        <v>chico</v>
      </c>
      <c r="D124" s="7" t="str">
        <f>discretizacion!F135</f>
        <v>grande</v>
      </c>
      <c r="E124" s="7" t="str">
        <f>discretizacion!H135</f>
        <v>grande</v>
      </c>
      <c r="F124" s="7" t="str">
        <f>discretizacion!I135</f>
        <v>Iris-virginica</v>
      </c>
    </row>
    <row r="125">
      <c r="A125" s="7" t="e">
        <f t="shared" si="15"/>
        <v>#REF!</v>
      </c>
      <c r="B125" s="7" t="str">
        <f>discretizacion!B136</f>
        <v>mediano</v>
      </c>
      <c r="C125" s="7" t="str">
        <f>discretizacion!D136</f>
        <v>chico</v>
      </c>
      <c r="D125" s="7" t="str">
        <f>discretizacion!F136</f>
        <v>mediano</v>
      </c>
      <c r="E125" s="7" t="str">
        <f>discretizacion!H136</f>
        <v>grande</v>
      </c>
      <c r="F125" s="7" t="str">
        <f>discretizacion!I136</f>
        <v>Iris-virginica</v>
      </c>
    </row>
    <row r="126">
      <c r="A126" s="7" t="e">
        <f t="shared" si="15"/>
        <v>#REF!</v>
      </c>
      <c r="B126" s="7" t="str">
        <f>discretizacion!B137</f>
        <v>mediano</v>
      </c>
      <c r="C126" s="7" t="str">
        <f>discretizacion!D137</f>
        <v>mediano</v>
      </c>
      <c r="D126" s="7" t="str">
        <f>discretizacion!F137</f>
        <v>grande</v>
      </c>
      <c r="E126" s="7" t="str">
        <f>discretizacion!H137</f>
        <v>grande</v>
      </c>
      <c r="F126" s="7" t="str">
        <f>discretizacion!I137</f>
        <v>Iris-virginica</v>
      </c>
    </row>
    <row r="127">
      <c r="A127" s="7" t="e">
        <f t="shared" si="15"/>
        <v>#REF!</v>
      </c>
      <c r="B127" s="7" t="str">
        <f>discretizacion!B138</f>
        <v>grande</v>
      </c>
      <c r="C127" s="7" t="str">
        <f>discretizacion!D138</f>
        <v>mediano</v>
      </c>
      <c r="D127" s="7" t="str">
        <f>discretizacion!F138</f>
        <v>grande</v>
      </c>
      <c r="E127" s="7" t="str">
        <f>discretizacion!H138</f>
        <v>grande</v>
      </c>
      <c r="F127" s="7" t="str">
        <f>discretizacion!I138</f>
        <v>Iris-virginica</v>
      </c>
    </row>
    <row r="128">
      <c r="A128" s="7" t="e">
        <f t="shared" si="15"/>
        <v>#REF!</v>
      </c>
      <c r="B128" s="7" t="str">
        <f>discretizacion!B139</f>
        <v>mediano</v>
      </c>
      <c r="C128" s="7" t="str">
        <f>discretizacion!D139</f>
        <v>chico</v>
      </c>
      <c r="D128" s="7" t="str">
        <f>discretizacion!F139</f>
        <v>mediano</v>
      </c>
      <c r="E128" s="7" t="str">
        <f>discretizacion!H139</f>
        <v>grande</v>
      </c>
      <c r="F128" s="7" t="str">
        <f>discretizacion!I139</f>
        <v>Iris-virginica</v>
      </c>
    </row>
    <row r="129">
      <c r="A129" s="7" t="e">
        <f t="shared" si="15"/>
        <v>#REF!</v>
      </c>
      <c r="B129" s="7" t="str">
        <f>discretizacion!B140</f>
        <v>mediano</v>
      </c>
      <c r="C129" s="7" t="str">
        <f>discretizacion!D140</f>
        <v>mediano</v>
      </c>
      <c r="D129" s="7" t="str">
        <f>discretizacion!F140</f>
        <v>mediano</v>
      </c>
      <c r="E129" s="7" t="str">
        <f>discretizacion!H140</f>
        <v>grande</v>
      </c>
      <c r="F129" s="7" t="str">
        <f>discretizacion!I140</f>
        <v>Iris-virginica</v>
      </c>
    </row>
    <row r="130">
      <c r="A130" s="7" t="e">
        <f t="shared" ref="A130:A151" si="16">discretizacion!#REF!</f>
        <v>#REF!</v>
      </c>
      <c r="B130" s="7" t="str">
        <f>discretizacion!B141</f>
        <v>mediano</v>
      </c>
      <c r="C130" s="7" t="str">
        <f>discretizacion!D141</f>
        <v>chico</v>
      </c>
      <c r="D130" s="7" t="str">
        <f>discretizacion!F141</f>
        <v>grande</v>
      </c>
      <c r="E130" s="7" t="str">
        <f>discretizacion!H141</f>
        <v>grande</v>
      </c>
      <c r="F130" s="7" t="str">
        <f>discretizacion!I141</f>
        <v>Iris-virginica</v>
      </c>
    </row>
    <row r="131">
      <c r="A131" s="7" t="e">
        <f t="shared" si="16"/>
        <v>#REF!</v>
      </c>
      <c r="B131" s="7" t="str">
        <f>discretizacion!B142</f>
        <v>grande</v>
      </c>
      <c r="C131" s="7" t="str">
        <f>discretizacion!D142</f>
        <v>mediano</v>
      </c>
      <c r="D131" s="7" t="str">
        <f>discretizacion!F142</f>
        <v>grande</v>
      </c>
      <c r="E131" s="7" t="str">
        <f>discretizacion!H142</f>
        <v>mediano</v>
      </c>
      <c r="F131" s="7" t="str">
        <f>discretizacion!I142</f>
        <v>Iris-virginica</v>
      </c>
    </row>
    <row r="132">
      <c r="A132" s="7" t="e">
        <f t="shared" si="16"/>
        <v>#REF!</v>
      </c>
      <c r="B132" s="7" t="str">
        <f>discretizacion!B143</f>
        <v>grande</v>
      </c>
      <c r="C132" s="7" t="str">
        <f>discretizacion!D143</f>
        <v>chico</v>
      </c>
      <c r="D132" s="7" t="str">
        <f>discretizacion!F143</f>
        <v>grande</v>
      </c>
      <c r="E132" s="7" t="str">
        <f>discretizacion!H143</f>
        <v>grande</v>
      </c>
      <c r="F132" s="7" t="str">
        <f>discretizacion!I143</f>
        <v>Iris-virginica</v>
      </c>
    </row>
    <row r="133">
      <c r="A133" s="7" t="e">
        <f t="shared" si="16"/>
        <v>#REF!</v>
      </c>
      <c r="B133" s="7" t="str">
        <f>discretizacion!B144</f>
        <v>grande</v>
      </c>
      <c r="C133" s="7" t="str">
        <f>discretizacion!D144</f>
        <v>grande</v>
      </c>
      <c r="D133" s="7" t="str">
        <f>discretizacion!F144</f>
        <v>grande</v>
      </c>
      <c r="E133" s="7" t="str">
        <f>discretizacion!H144</f>
        <v>grande</v>
      </c>
      <c r="F133" s="7" t="str">
        <f>discretizacion!I144</f>
        <v>Iris-virginica</v>
      </c>
    </row>
    <row r="134">
      <c r="A134" s="7" t="e">
        <f t="shared" si="16"/>
        <v>#REF!</v>
      </c>
      <c r="B134" s="7" t="str">
        <f>discretizacion!B145</f>
        <v>mediano</v>
      </c>
      <c r="C134" s="7" t="str">
        <f>discretizacion!D145</f>
        <v>chico</v>
      </c>
      <c r="D134" s="7" t="str">
        <f>discretizacion!F145</f>
        <v>grande</v>
      </c>
      <c r="E134" s="7" t="str">
        <f>discretizacion!H145</f>
        <v>grande</v>
      </c>
      <c r="F134" s="7" t="str">
        <f>discretizacion!I145</f>
        <v>Iris-virginica</v>
      </c>
    </row>
    <row r="135">
      <c r="A135" s="7" t="e">
        <f t="shared" si="16"/>
        <v>#REF!</v>
      </c>
      <c r="B135" s="7" t="str">
        <f>discretizacion!B146</f>
        <v>mediano</v>
      </c>
      <c r="C135" s="7" t="str">
        <f>discretizacion!D146</f>
        <v>chico</v>
      </c>
      <c r="D135" s="7" t="str">
        <f>discretizacion!F146</f>
        <v>grande</v>
      </c>
      <c r="E135" s="7" t="str">
        <f>discretizacion!H146</f>
        <v>mediano</v>
      </c>
      <c r="F135" s="7" t="str">
        <f>discretizacion!I146</f>
        <v>Iris-virginica</v>
      </c>
    </row>
    <row r="136">
      <c r="A136" s="7" t="e">
        <f t="shared" si="16"/>
        <v>#REF!</v>
      </c>
      <c r="B136" s="7" t="str">
        <f>discretizacion!B147</f>
        <v>mediano</v>
      </c>
      <c r="C136" s="7" t="str">
        <f>discretizacion!D147</f>
        <v>chico</v>
      </c>
      <c r="D136" s="7" t="str">
        <f>discretizacion!F147</f>
        <v>grande</v>
      </c>
      <c r="E136" s="7" t="str">
        <f>discretizacion!H147</f>
        <v>mediano</v>
      </c>
      <c r="F136" s="7" t="str">
        <f>discretizacion!I147</f>
        <v>Iris-virginica</v>
      </c>
    </row>
    <row r="137">
      <c r="A137" s="7" t="e">
        <f t="shared" si="16"/>
        <v>#REF!</v>
      </c>
      <c r="B137" s="7" t="str">
        <f>discretizacion!B148</f>
        <v>grande</v>
      </c>
      <c r="C137" s="7" t="str">
        <f>discretizacion!D148</f>
        <v>mediano</v>
      </c>
      <c r="D137" s="7" t="str">
        <f>discretizacion!F148</f>
        <v>grande</v>
      </c>
      <c r="E137" s="7" t="str">
        <f>discretizacion!H148</f>
        <v>grande</v>
      </c>
      <c r="F137" s="7" t="str">
        <f>discretizacion!I148</f>
        <v>Iris-virginica</v>
      </c>
    </row>
    <row r="138">
      <c r="A138" s="7" t="e">
        <f t="shared" si="16"/>
        <v>#REF!</v>
      </c>
      <c r="B138" s="7" t="str">
        <f>discretizacion!B149</f>
        <v>mediano</v>
      </c>
      <c r="C138" s="7" t="str">
        <f>discretizacion!D149</f>
        <v>mediano</v>
      </c>
      <c r="D138" s="7" t="str">
        <f>discretizacion!F149</f>
        <v>grande</v>
      </c>
      <c r="E138" s="7" t="str">
        <f>discretizacion!H149</f>
        <v>grande</v>
      </c>
      <c r="F138" s="7" t="str">
        <f>discretizacion!I149</f>
        <v>Iris-virginica</v>
      </c>
    </row>
    <row r="139">
      <c r="A139" s="7" t="e">
        <f t="shared" si="16"/>
        <v>#REF!</v>
      </c>
      <c r="B139" s="7" t="str">
        <f>discretizacion!B150</f>
        <v>mediano</v>
      </c>
      <c r="C139" s="7" t="str">
        <f>discretizacion!D150</f>
        <v>mediano</v>
      </c>
      <c r="D139" s="7" t="str">
        <f>discretizacion!F150</f>
        <v>grande</v>
      </c>
      <c r="E139" s="7" t="str">
        <f>discretizacion!H150</f>
        <v>grande</v>
      </c>
      <c r="F139" s="7" t="str">
        <f>discretizacion!I150</f>
        <v>Iris-virginica</v>
      </c>
    </row>
    <row r="140">
      <c r="A140" s="7" t="e">
        <f t="shared" si="16"/>
        <v>#REF!</v>
      </c>
      <c r="B140" s="7" t="str">
        <f>discretizacion!B151</f>
        <v>mediano</v>
      </c>
      <c r="C140" s="7" t="str">
        <f>discretizacion!D151</f>
        <v>mediano</v>
      </c>
      <c r="D140" s="7" t="str">
        <f>discretizacion!F151</f>
        <v>mediano</v>
      </c>
      <c r="E140" s="7" t="str">
        <f>discretizacion!H151</f>
        <v>grande</v>
      </c>
      <c r="F140" s="7" t="str">
        <f>discretizacion!I151</f>
        <v>Iris-virginica</v>
      </c>
    </row>
    <row r="141">
      <c r="A141" s="7" t="e">
        <f t="shared" si="16"/>
        <v>#REF!</v>
      </c>
      <c r="B141" s="7" t="str">
        <f>discretizacion!B152</f>
        <v>grande</v>
      </c>
      <c r="C141" s="7" t="str">
        <f>discretizacion!D152</f>
        <v>mediano</v>
      </c>
      <c r="D141" s="7" t="str">
        <f>discretizacion!F152</f>
        <v>grande</v>
      </c>
      <c r="E141" s="7" t="str">
        <f>discretizacion!H152</f>
        <v>grande</v>
      </c>
      <c r="F141" s="7" t="str">
        <f>discretizacion!I152</f>
        <v>Iris-virginica</v>
      </c>
    </row>
    <row r="142">
      <c r="A142" s="7" t="e">
        <f t="shared" si="16"/>
        <v>#REF!</v>
      </c>
      <c r="B142" s="7" t="str">
        <f>discretizacion!B153</f>
        <v>mediano</v>
      </c>
      <c r="C142" s="7" t="str">
        <f>discretizacion!D153</f>
        <v>mediano</v>
      </c>
      <c r="D142" s="7" t="str">
        <f>discretizacion!F153</f>
        <v>grande</v>
      </c>
      <c r="E142" s="7" t="str">
        <f>discretizacion!H153</f>
        <v>grande</v>
      </c>
      <c r="F142" s="7" t="str">
        <f>discretizacion!I153</f>
        <v>Iris-virginica</v>
      </c>
    </row>
    <row r="143">
      <c r="A143" s="7" t="e">
        <f t="shared" si="16"/>
        <v>#REF!</v>
      </c>
      <c r="B143" s="7" t="str">
        <f>discretizacion!B154</f>
        <v>grande</v>
      </c>
      <c r="C143" s="7" t="str">
        <f>discretizacion!D154</f>
        <v>mediano</v>
      </c>
      <c r="D143" s="7" t="str">
        <f>discretizacion!F154</f>
        <v>grande</v>
      </c>
      <c r="E143" s="7" t="str">
        <f>discretizacion!H154</f>
        <v>grande</v>
      </c>
      <c r="F143" s="7" t="str">
        <f>discretizacion!I154</f>
        <v>Iris-virginica</v>
      </c>
    </row>
    <row r="144">
      <c r="A144" s="7" t="e">
        <f t="shared" si="16"/>
        <v>#REF!</v>
      </c>
      <c r="B144" s="7" t="str">
        <f>discretizacion!B155</f>
        <v>mediano</v>
      </c>
      <c r="C144" s="7" t="str">
        <f>discretizacion!D155</f>
        <v>chico</v>
      </c>
      <c r="D144" s="7" t="str">
        <f>discretizacion!F155</f>
        <v>grande</v>
      </c>
      <c r="E144" s="7" t="str">
        <f>discretizacion!H155</f>
        <v>grande</v>
      </c>
      <c r="F144" s="7" t="str">
        <f>discretizacion!I155</f>
        <v>Iris-virginica</v>
      </c>
    </row>
    <row r="145">
      <c r="A145" s="7" t="e">
        <f t="shared" si="16"/>
        <v>#REF!</v>
      </c>
      <c r="B145" s="7" t="str">
        <f>discretizacion!B156</f>
        <v>grande</v>
      </c>
      <c r="C145" s="7" t="str">
        <f>discretizacion!D156</f>
        <v>mediano</v>
      </c>
      <c r="D145" s="7" t="str">
        <f>discretizacion!F156</f>
        <v>grande</v>
      </c>
      <c r="E145" s="7" t="str">
        <f>discretizacion!H156</f>
        <v>grande</v>
      </c>
      <c r="F145" s="7" t="str">
        <f>discretizacion!I156</f>
        <v>Iris-virginica</v>
      </c>
    </row>
    <row r="146">
      <c r="A146" s="7" t="e">
        <f t="shared" si="16"/>
        <v>#REF!</v>
      </c>
      <c r="B146" s="7" t="str">
        <f>discretizacion!B157</f>
        <v>mediano</v>
      </c>
      <c r="C146" s="7" t="str">
        <f>discretizacion!D157</f>
        <v>mediano</v>
      </c>
      <c r="D146" s="7" t="str">
        <f>discretizacion!F157</f>
        <v>grande</v>
      </c>
      <c r="E146" s="7" t="str">
        <f>discretizacion!H157</f>
        <v>grande</v>
      </c>
      <c r="F146" s="7" t="str">
        <f>discretizacion!I157</f>
        <v>Iris-virginica</v>
      </c>
    </row>
    <row r="147">
      <c r="A147" s="7" t="e">
        <f t="shared" si="16"/>
        <v>#REF!</v>
      </c>
      <c r="B147" s="7" t="str">
        <f>discretizacion!B158</f>
        <v>mediano</v>
      </c>
      <c r="C147" s="7" t="str">
        <f>discretizacion!D158</f>
        <v>mediano</v>
      </c>
      <c r="D147" s="7" t="str">
        <f>discretizacion!F158</f>
        <v>grande</v>
      </c>
      <c r="E147" s="7" t="str">
        <f>discretizacion!H158</f>
        <v>grande</v>
      </c>
      <c r="F147" s="7" t="str">
        <f>discretizacion!I158</f>
        <v>Iris-virginica</v>
      </c>
    </row>
    <row r="148">
      <c r="A148" s="7" t="e">
        <f t="shared" si="16"/>
        <v>#REF!</v>
      </c>
      <c r="B148" s="7" t="str">
        <f>discretizacion!B159</f>
        <v>mediano</v>
      </c>
      <c r="C148" s="7" t="str">
        <f>discretizacion!D159</f>
        <v>chico</v>
      </c>
      <c r="D148" s="7" t="str">
        <f>discretizacion!F159</f>
        <v>grande</v>
      </c>
      <c r="E148" s="7" t="str">
        <f>discretizacion!H159</f>
        <v>grande</v>
      </c>
      <c r="F148" s="7" t="str">
        <f>discretizacion!I159</f>
        <v>Iris-virginica</v>
      </c>
    </row>
    <row r="149">
      <c r="A149" s="7" t="e">
        <f t="shared" si="16"/>
        <v>#REF!</v>
      </c>
      <c r="B149" s="7" t="str">
        <f>discretizacion!B160</f>
        <v>mediano</v>
      </c>
      <c r="C149" s="7" t="str">
        <f>discretizacion!D160</f>
        <v>mediano</v>
      </c>
      <c r="D149" s="7" t="str">
        <f>discretizacion!F160</f>
        <v>grande</v>
      </c>
      <c r="E149" s="7" t="str">
        <f>discretizacion!H160</f>
        <v>grande</v>
      </c>
      <c r="F149" s="7" t="str">
        <f>discretizacion!I160</f>
        <v>Iris-virginica</v>
      </c>
    </row>
    <row r="150">
      <c r="A150" s="7" t="e">
        <f t="shared" si="16"/>
        <v>#REF!</v>
      </c>
      <c r="B150" s="7" t="str">
        <f>discretizacion!B161</f>
        <v>mediano</v>
      </c>
      <c r="C150" s="7" t="str">
        <f>discretizacion!D161</f>
        <v>mediano</v>
      </c>
      <c r="D150" s="7" t="str">
        <f>discretizacion!F161</f>
        <v>grande</v>
      </c>
      <c r="E150" s="7" t="str">
        <f>discretizacion!H161</f>
        <v>grande</v>
      </c>
      <c r="F150" s="7" t="str">
        <f>discretizacion!I161</f>
        <v>Iris-virginica</v>
      </c>
    </row>
    <row r="151">
      <c r="A151" s="7" t="e">
        <f t="shared" si="16"/>
        <v>#REF!</v>
      </c>
      <c r="B151" s="7" t="str">
        <f>discretizacion!B162</f>
        <v>mediano</v>
      </c>
      <c r="C151" s="7" t="str">
        <f>discretizacion!D162</f>
        <v>mediano</v>
      </c>
      <c r="D151" s="7" t="str">
        <f>discretizacion!F162</f>
        <v>grande</v>
      </c>
      <c r="E151" s="7" t="str">
        <f>discretizacion!H162</f>
        <v>grande</v>
      </c>
      <c r="F151" s="7" t="str">
        <f>discretizacion!I162</f>
        <v>Iris-virginica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6" activeCellId="0" sqref="E6"/>
    </sheetView>
  </sheetViews>
  <sheetFormatPr defaultColWidth="8.6640625" defaultRowHeight="14.4"/>
  <cols>
    <col customWidth="1" min="1" max="1" width="14"/>
    <col customWidth="1" min="2" max="9" width="13"/>
  </cols>
  <sheetData>
    <row r="1" ht="19.5" customHeight="1">
      <c r="A1" s="10" t="s">
        <v>21</v>
      </c>
      <c r="B1" s="10"/>
      <c r="C1" s="10"/>
      <c r="D1" s="11"/>
      <c r="E1" s="11"/>
      <c r="F1" s="11"/>
      <c r="G1" s="11"/>
      <c r="H1" s="11"/>
      <c r="I1" s="11"/>
    </row>
    <row r="3">
      <c r="A3" s="6" t="s">
        <v>22</v>
      </c>
    </row>
    <row r="4">
      <c r="A4" s="2" t="s">
        <v>4</v>
      </c>
      <c r="B4" s="2" t="s">
        <v>23</v>
      </c>
      <c r="C4" s="2" t="s">
        <v>24</v>
      </c>
    </row>
    <row r="5">
      <c r="A5" s="7" t="s">
        <v>25</v>
      </c>
      <c r="B5" s="7">
        <f>COUNTIF(datos!$F$2:$F$151,"Iris-setosa")</f>
        <v>50</v>
      </c>
      <c r="C5" s="12">
        <f t="shared" ref="C5:C7" si="17">B5/150</f>
        <v>0.33333333333333331</v>
      </c>
    </row>
    <row r="6">
      <c r="A6" s="7" t="s">
        <v>26</v>
      </c>
      <c r="B6" s="7">
        <f>COUNTIF(datos!$F$2:$F$151,"Iris-versicolor")</f>
        <v>50</v>
      </c>
      <c r="C6" s="12">
        <f t="shared" si="17"/>
        <v>0.33333333333333331</v>
      </c>
    </row>
    <row r="7">
      <c r="A7" s="7" t="s">
        <v>27</v>
      </c>
      <c r="B7" s="7">
        <f>COUNTIF(datos!$F$2:$F$151,"Iris-virginica")</f>
        <v>50</v>
      </c>
      <c r="C7" s="12">
        <f t="shared" si="17"/>
        <v>0.33333333333333331</v>
      </c>
    </row>
    <row r="9">
      <c r="A9" s="6" t="s">
        <v>28</v>
      </c>
    </row>
    <row r="10">
      <c r="A10" t="s">
        <v>29</v>
      </c>
      <c r="B10" s="13">
        <f>-(IF(C5=0,0,C5*LOG(C5,2))+IF(C6=0,0,C6*LOG(C6,2))+IF(C7=0,0,C7*LOG(C7,2)))</f>
        <v>1.5849625007211561</v>
      </c>
    </row>
    <row r="12">
      <c r="A12" s="6" t="s">
        <v>30</v>
      </c>
    </row>
    <row r="14">
      <c r="A14" s="14" t="s">
        <v>31</v>
      </c>
    </row>
    <row r="15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36</v>
      </c>
      <c r="F15" s="2" t="s">
        <v>37</v>
      </c>
      <c r="G15" s="2" t="s">
        <v>38</v>
      </c>
      <c r="H15" s="2" t="s">
        <v>39</v>
      </c>
      <c r="I15" s="2" t="s">
        <v>40</v>
      </c>
    </row>
    <row r="16">
      <c r="A16" s="7" t="s">
        <v>41</v>
      </c>
      <c r="B16" s="7">
        <f>COUNTIFS(datos!$B$2:$B$151,"chico",datos!$F$2:$F$151,"Iris-setosa")</f>
        <v>47</v>
      </c>
      <c r="C16" s="7">
        <f>COUNTIFS(datos!$B$2:$B$151,"chico",datos!$F$2:$F$151,"Iris-versicolor")</f>
        <v>11</v>
      </c>
      <c r="D16" s="7">
        <f>COUNTIFS(datos!$B$2:$B$151,"chico",datos!$F$2:$F$151,"Iris-virginica")</f>
        <v>1</v>
      </c>
      <c r="E16" s="7">
        <f t="shared" ref="E16:E18" si="18">SUM(B16:D16)</f>
        <v>59</v>
      </c>
      <c r="F16" s="12">
        <f t="shared" ref="F16:H45" si="19">IF($E16=0,0,B16/$E16)</f>
        <v>0.79661016949152541</v>
      </c>
      <c r="G16" s="12">
        <f t="shared" si="19"/>
        <v>0.1864406779661017</v>
      </c>
      <c r="H16" s="12">
        <f t="shared" si="19"/>
        <v>1.6949152542372881e-002</v>
      </c>
      <c r="I16" s="12">
        <f t="shared" ref="I16:I45" si="20">-(IF(F16=0,0,F16*LOG(F16,2))+IF(G16=0,0,G16*LOG(G16,2))+IF(H16=0,0,H16*LOG(H16,2)))</f>
        <v>0.81282230641507469</v>
      </c>
    </row>
    <row r="17">
      <c r="A17" s="7" t="s">
        <v>42</v>
      </c>
      <c r="B17" s="7">
        <f>COUNTIFS(datos!$B$2:$B$151,"mediano",datos!$F$2:$F$151,"Iris-setosa")</f>
        <v>3</v>
      </c>
      <c r="C17" s="7">
        <f>COUNTIFS(datos!$B$2:$B$151,"mediano",datos!$F$2:$F$151,"Iris-versicolor")</f>
        <v>36</v>
      </c>
      <c r="D17" s="7">
        <f>COUNTIFS(datos!$B$2:$B$151,"mediano",datos!$F$2:$F$151,"Iris-virginica")</f>
        <v>32</v>
      </c>
      <c r="E17" s="7">
        <f t="shared" si="18"/>
        <v>71</v>
      </c>
      <c r="F17" s="12">
        <f t="shared" si="19"/>
        <v>4.2253521126760563e-002</v>
      </c>
      <c r="G17" s="12">
        <f t="shared" si="19"/>
        <v>0.50704225352112675</v>
      </c>
      <c r="H17" s="12">
        <f t="shared" si="19"/>
        <v>0.45070422535211269</v>
      </c>
      <c r="I17" s="12">
        <f t="shared" si="20"/>
        <v>1.2078853229682496</v>
      </c>
    </row>
    <row r="18">
      <c r="A18" s="7" t="s">
        <v>43</v>
      </c>
      <c r="B18" s="7">
        <f>COUNTIFS(datos!$B$2:$B$151,"grande",datos!$F$2:$F$151,"Iris-setosa")</f>
        <v>0</v>
      </c>
      <c r="C18" s="7">
        <f>COUNTIFS(datos!$B$2:$B$151,"grande",datos!$F$2:$F$151,"Iris-versicolor")</f>
        <v>3</v>
      </c>
      <c r="D18" s="7">
        <f>COUNTIFS(datos!$B$2:$B$151,"grande",datos!$F$2:$F$151,"Iris-virginica")</f>
        <v>17</v>
      </c>
      <c r="E18" s="7">
        <f t="shared" si="18"/>
        <v>20</v>
      </c>
      <c r="F18" s="12">
        <f t="shared" si="19"/>
        <v>0</v>
      </c>
      <c r="G18" s="12">
        <f t="shared" si="19"/>
        <v>0.14999999999999999</v>
      </c>
      <c r="H18" s="12">
        <f t="shared" si="19"/>
        <v>0.84999999999999998</v>
      </c>
      <c r="I18" s="12">
        <f t="shared" si="20"/>
        <v>0.60984030471640038</v>
      </c>
    </row>
    <row r="19">
      <c r="A19" s="15" t="s">
        <v>44</v>
      </c>
      <c r="E19" s="16">
        <f>SUMPRODUCT(E16:E18,I16:I18)/150</f>
        <v>0.97275453402375411</v>
      </c>
    </row>
    <row r="20">
      <c r="A20" s="6" t="s">
        <v>45</v>
      </c>
      <c r="E20" s="17">
        <f>B10-E19</f>
        <v>0.61220796669740196</v>
      </c>
    </row>
    <row r="23">
      <c r="A23" s="14" t="s">
        <v>46</v>
      </c>
    </row>
    <row r="24">
      <c r="A24" s="2" t="s">
        <v>32</v>
      </c>
      <c r="B24" s="2" t="s">
        <v>33</v>
      </c>
      <c r="C24" s="2" t="s">
        <v>34</v>
      </c>
      <c r="D24" s="2" t="s">
        <v>35</v>
      </c>
      <c r="E24" s="2" t="s">
        <v>36</v>
      </c>
      <c r="F24" s="2" t="s">
        <v>37</v>
      </c>
      <c r="G24" s="2" t="s">
        <v>38</v>
      </c>
      <c r="H24" s="2" t="s">
        <v>39</v>
      </c>
      <c r="I24" s="2" t="s">
        <v>40</v>
      </c>
    </row>
    <row r="25">
      <c r="A25" s="7" t="s">
        <v>41</v>
      </c>
      <c r="B25" s="7">
        <f>COUNTIFS(datos!$C$2:$C$151,"chico",datos!$F$2:$F$151,"Iris-setosa")</f>
        <v>1</v>
      </c>
      <c r="C25" s="7">
        <f>COUNTIFS(datos!$C$2:$C$151,"chico",datos!$F$2:$F$151,"Iris-versicolor")</f>
        <v>27</v>
      </c>
      <c r="D25" s="7">
        <f>COUNTIFS(datos!$C$2:$C$151,"chico",datos!$F$2:$F$151,"Iris-virginica")</f>
        <v>19</v>
      </c>
      <c r="E25" s="7">
        <f t="shared" ref="E25:E27" si="21">SUM(B25:D25)</f>
        <v>47</v>
      </c>
      <c r="F25" s="12">
        <f t="shared" si="19"/>
        <v>2.1276595744680851e-002</v>
      </c>
      <c r="G25" s="12">
        <f t="shared" si="19"/>
        <v>0.57446808510638303</v>
      </c>
      <c r="H25" s="12">
        <f t="shared" si="19"/>
        <v>0.40425531914893614</v>
      </c>
      <c r="I25" s="12">
        <f t="shared" si="20"/>
        <v>1.1058104407448335</v>
      </c>
    </row>
    <row r="26">
      <c r="A26" s="7" t="s">
        <v>42</v>
      </c>
      <c r="B26" s="7">
        <f>COUNTIFS(datos!$C$2:$C$151,"mediano",datos!$F$2:$F$151,"Iris-setosa")</f>
        <v>36</v>
      </c>
      <c r="C26" s="7">
        <f>COUNTIFS(datos!$C$2:$C$151,"mediano",datos!$F$2:$F$151,"Iris-versicolor")</f>
        <v>23</v>
      </c>
      <c r="D26" s="7">
        <f>COUNTIFS(datos!$C$2:$C$151,"mediano",datos!$F$2:$F$151,"Iris-virginica")</f>
        <v>29</v>
      </c>
      <c r="E26" s="7">
        <f t="shared" si="21"/>
        <v>88</v>
      </c>
      <c r="F26" s="12">
        <f t="shared" si="19"/>
        <v>0.40909090909090912</v>
      </c>
      <c r="G26" s="12">
        <f t="shared" si="19"/>
        <v>0.26136363636363635</v>
      </c>
      <c r="H26" s="12">
        <f t="shared" si="19"/>
        <v>0.32954545454545453</v>
      </c>
      <c r="I26" s="12">
        <f t="shared" si="20"/>
        <v>1.561242142501682</v>
      </c>
    </row>
    <row r="27">
      <c r="A27" s="7" t="s">
        <v>43</v>
      </c>
      <c r="B27" s="7">
        <f>COUNTIFS(datos!$C$2:$C$151,"grande",datos!$F$2:$F$151,"Iris-setosa")</f>
        <v>13</v>
      </c>
      <c r="C27" s="7">
        <f>COUNTIFS(datos!$C$2:$C$151,"grande",datos!$F$2:$F$151,"Iris-versicolor")</f>
        <v>0</v>
      </c>
      <c r="D27" s="7">
        <f>COUNTIFS(datos!$C$2:$C$151,"grande",datos!$F$2:$F$151,"Iris-virginica")</f>
        <v>2</v>
      </c>
      <c r="E27" s="7">
        <f t="shared" si="21"/>
        <v>15</v>
      </c>
      <c r="F27" s="12">
        <f t="shared" si="19"/>
        <v>0.8666666666666667</v>
      </c>
      <c r="G27" s="12">
        <f t="shared" si="19"/>
        <v>0</v>
      </c>
      <c r="H27" s="12">
        <f t="shared" si="19"/>
        <v>0.13333333333333333</v>
      </c>
      <c r="I27" s="12">
        <f t="shared" si="20"/>
        <v>0.56650950655290533</v>
      </c>
    </row>
    <row r="28">
      <c r="A28" s="15" t="s">
        <v>44</v>
      </c>
      <c r="E28" s="16">
        <f>SUMPRODUCT(E25:E27,I25:I27)/150</f>
        <v>1.3190669456896584</v>
      </c>
    </row>
    <row r="29">
      <c r="A29" s="6" t="s">
        <v>47</v>
      </c>
      <c r="E29" s="17">
        <f>B10-E28</f>
        <v>0.26589555503149764</v>
      </c>
    </row>
    <row r="32">
      <c r="A32" s="14" t="s">
        <v>48</v>
      </c>
    </row>
    <row r="33">
      <c r="A33" s="2" t="s">
        <v>32</v>
      </c>
      <c r="B33" s="2" t="s">
        <v>33</v>
      </c>
      <c r="C33" s="2" t="s">
        <v>34</v>
      </c>
      <c r="D33" s="2" t="s">
        <v>35</v>
      </c>
      <c r="E33" s="2" t="s">
        <v>36</v>
      </c>
      <c r="F33" s="2" t="s">
        <v>37</v>
      </c>
      <c r="G33" s="2" t="s">
        <v>38</v>
      </c>
      <c r="H33" s="2" t="s">
        <v>39</v>
      </c>
      <c r="I33" s="2" t="s">
        <v>40</v>
      </c>
    </row>
    <row r="34">
      <c r="A34" s="7" t="s">
        <v>41</v>
      </c>
      <c r="B34" s="7">
        <f>COUNTIFS(datos!$D$2:$D$151,"chico",datos!$F$2:$F$151,"Iris-setosa")</f>
        <v>50</v>
      </c>
      <c r="C34" s="7">
        <f>COUNTIFS(datos!$D$2:$D$151,"chico",datos!$F$2:$F$151,"Iris-versicolor")</f>
        <v>0</v>
      </c>
      <c r="D34" s="7">
        <f>COUNTIFS(datos!$D$2:$D$151,"chico",datos!$F$2:$F$151,"Iris-virginica")</f>
        <v>0</v>
      </c>
      <c r="E34" s="7">
        <f t="shared" ref="E34:E36" si="22">SUM(B34:D34)</f>
        <v>50</v>
      </c>
      <c r="F34" s="12">
        <f t="shared" si="19"/>
        <v>1</v>
      </c>
      <c r="G34" s="12">
        <f t="shared" si="19"/>
        <v>0</v>
      </c>
      <c r="H34" s="12">
        <f t="shared" si="19"/>
        <v>0</v>
      </c>
      <c r="I34" s="12">
        <f t="shared" si="20"/>
        <v>0</v>
      </c>
    </row>
    <row r="35">
      <c r="A35" s="7" t="s">
        <v>42</v>
      </c>
      <c r="B35" s="7">
        <f>COUNTIFS(datos!$D$2:$D$151,"mediano",datos!$F$2:$F$151,"Iris-setosa")</f>
        <v>0</v>
      </c>
      <c r="C35" s="7">
        <f>COUNTIFS(datos!$D$2:$D$151,"mediano",datos!$F$2:$F$151,"Iris-versicolor")</f>
        <v>48</v>
      </c>
      <c r="D35" s="7">
        <f>COUNTIFS(datos!$D$2:$D$151,"mediano",datos!$F$2:$F$151,"Iris-virginica")</f>
        <v>6</v>
      </c>
      <c r="E35" s="7">
        <f t="shared" si="22"/>
        <v>54</v>
      </c>
      <c r="F35" s="12">
        <f t="shared" si="19"/>
        <v>0</v>
      </c>
      <c r="G35" s="12">
        <f t="shared" si="19"/>
        <v>0.88888888888888884</v>
      </c>
      <c r="H35" s="12">
        <f t="shared" si="19"/>
        <v>0.1111111111111111</v>
      </c>
      <c r="I35" s="12">
        <f t="shared" si="20"/>
        <v>0.50325833477564574</v>
      </c>
    </row>
    <row r="36">
      <c r="A36" s="7" t="s">
        <v>43</v>
      </c>
      <c r="B36" s="7">
        <f>COUNTIFS(datos!$D$2:$D$151,"grande",datos!$F$2:$F$151,"Iris-setosa")</f>
        <v>0</v>
      </c>
      <c r="C36" s="7">
        <f>COUNTIFS(datos!$D$2:$D$151,"grande",datos!$F$2:$F$151,"Iris-versicolor")</f>
        <v>2</v>
      </c>
      <c r="D36" s="7">
        <f>COUNTIFS(datos!$D$2:$D$151,"grande",datos!$F$2:$F$151,"Iris-virginica")</f>
        <v>44</v>
      </c>
      <c r="E36" s="7">
        <f t="shared" si="22"/>
        <v>46</v>
      </c>
      <c r="F36" s="12">
        <f t="shared" si="19"/>
        <v>0</v>
      </c>
      <c r="G36" s="12">
        <f t="shared" si="19"/>
        <v>4.3478260869565216e-002</v>
      </c>
      <c r="H36" s="12">
        <f t="shared" si="19"/>
        <v>0.95652173913043481</v>
      </c>
      <c r="I36" s="12">
        <f t="shared" si="20"/>
        <v>0.25801866866481549</v>
      </c>
    </row>
    <row r="37">
      <c r="A37" s="15" t="s">
        <v>44</v>
      </c>
      <c r="E37" s="16">
        <f>SUMPRODUCT(E34:E36,I34:I36)/150</f>
        <v>0.26029872557644251</v>
      </c>
    </row>
    <row r="38">
      <c r="A38" s="6" t="s">
        <v>49</v>
      </c>
      <c r="E38" s="17">
        <f>B10-E37</f>
        <v>1.3246637751447135</v>
      </c>
    </row>
    <row r="41">
      <c r="A41" s="14" t="s">
        <v>50</v>
      </c>
    </row>
    <row r="42">
      <c r="A42" s="2" t="s">
        <v>32</v>
      </c>
      <c r="B42" s="2" t="s">
        <v>33</v>
      </c>
      <c r="C42" s="2" t="s">
        <v>34</v>
      </c>
      <c r="D42" s="2" t="s">
        <v>35</v>
      </c>
      <c r="E42" s="2" t="s">
        <v>36</v>
      </c>
      <c r="F42" s="2" t="s">
        <v>37</v>
      </c>
      <c r="G42" s="2" t="s">
        <v>38</v>
      </c>
      <c r="H42" s="2" t="s">
        <v>39</v>
      </c>
      <c r="I42" s="2" t="s">
        <v>40</v>
      </c>
    </row>
    <row r="43">
      <c r="A43" s="7" t="s">
        <v>41</v>
      </c>
      <c r="B43" s="7">
        <f>COUNTIFS(datos!$E$2:$E$151,"chico",datos!$F$2:$F$151,"Iris-setosa")</f>
        <v>50</v>
      </c>
      <c r="C43" s="7">
        <f>COUNTIFS(datos!$E$2:$E$151,"chico",datos!$F$2:$F$151,"Iris-versicolor")</f>
        <v>0</v>
      </c>
      <c r="D43" s="7">
        <f>COUNTIFS(datos!$E$2:$E$151,"chico",datos!$F$2:$F$151,"Iris-virginica")</f>
        <v>0</v>
      </c>
      <c r="E43" s="7">
        <f t="shared" ref="E43:E45" si="23">SUM(B43:D43)</f>
        <v>50</v>
      </c>
      <c r="F43" s="12">
        <f t="shared" si="19"/>
        <v>1</v>
      </c>
      <c r="G43" s="12">
        <f t="shared" si="19"/>
        <v>0</v>
      </c>
      <c r="H43" s="12">
        <f t="shared" si="19"/>
        <v>0</v>
      </c>
      <c r="I43" s="12">
        <f t="shared" si="20"/>
        <v>0</v>
      </c>
    </row>
    <row r="44">
      <c r="A44" s="7" t="s">
        <v>42</v>
      </c>
      <c r="B44" s="7">
        <f>COUNTIFS(datos!$E$2:$E$151,"mediano",datos!$F$2:$F$151,"Iris-setosa")</f>
        <v>0</v>
      </c>
      <c r="C44" s="7">
        <f>COUNTIFS(datos!$E$2:$E$151,"mediano",datos!$F$2:$F$151,"Iris-versicolor")</f>
        <v>49</v>
      </c>
      <c r="D44" s="7">
        <f>COUNTIFS(datos!$E$2:$E$151,"mediano",datos!$F$2:$F$151,"Iris-virginica")</f>
        <v>5</v>
      </c>
      <c r="E44" s="7">
        <f t="shared" si="23"/>
        <v>54</v>
      </c>
      <c r="F44" s="12">
        <f t="shared" si="19"/>
        <v>0</v>
      </c>
      <c r="G44" s="12">
        <f t="shared" si="19"/>
        <v>0.90740740740740744</v>
      </c>
      <c r="H44" s="12">
        <f t="shared" si="19"/>
        <v>9.2592592592592587e-002</v>
      </c>
      <c r="I44" s="12">
        <f t="shared" si="20"/>
        <v>0.44506485705083865</v>
      </c>
    </row>
    <row r="45">
      <c r="A45" s="7" t="s">
        <v>43</v>
      </c>
      <c r="B45" s="7">
        <f>COUNTIFS(datos!$E$2:$E$151,"grande",datos!$F$2:$F$151,"Iris-setosa")</f>
        <v>0</v>
      </c>
      <c r="C45" s="7">
        <f>COUNTIFS(datos!$E$2:$E$151,"grande",datos!$F$2:$F$151,"Iris-versicolor")</f>
        <v>1</v>
      </c>
      <c r="D45" s="7">
        <f>COUNTIFS(datos!$E$2:$E$151,"grande",datos!$F$2:$F$151,"Iris-virginica")</f>
        <v>45</v>
      </c>
      <c r="E45" s="7">
        <f t="shared" si="23"/>
        <v>46</v>
      </c>
      <c r="F45" s="12">
        <f t="shared" si="19"/>
        <v>0</v>
      </c>
      <c r="G45" s="12">
        <f t="shared" si="19"/>
        <v>2.1739130434782608e-002</v>
      </c>
      <c r="H45" s="12">
        <f t="shared" si="19"/>
        <v>0.97826086956521741</v>
      </c>
      <c r="I45" s="12">
        <f t="shared" si="20"/>
        <v>0.15109697051711368</v>
      </c>
    </row>
    <row r="46">
      <c r="A46" s="15" t="s">
        <v>44</v>
      </c>
      <c r="E46" s="16">
        <f>SUMPRODUCT(E43:E45,I43:I45)/150</f>
        <v>0.2065597528302168</v>
      </c>
    </row>
    <row r="47">
      <c r="A47" s="6" t="s">
        <v>51</v>
      </c>
      <c r="E47" s="17">
        <f>B10-E46</f>
        <v>1.3784027478909393</v>
      </c>
    </row>
    <row r="50">
      <c r="A50" s="6" t="s">
        <v>52</v>
      </c>
    </row>
    <row r="51">
      <c r="A51" s="2" t="s">
        <v>11</v>
      </c>
      <c r="B51" s="2" t="s">
        <v>53</v>
      </c>
    </row>
    <row r="52">
      <c r="A52" s="7" t="s">
        <v>0</v>
      </c>
      <c r="B52" s="12">
        <f>E20</f>
        <v>0.61220796669740196</v>
      </c>
    </row>
    <row r="53">
      <c r="A53" s="7" t="s">
        <v>1</v>
      </c>
      <c r="B53" s="12">
        <f>E29</f>
        <v>0.26589555503149764</v>
      </c>
    </row>
    <row r="54">
      <c r="A54" s="7" t="s">
        <v>2</v>
      </c>
      <c r="B54" s="12">
        <f>E38</f>
        <v>1.3246637751447135</v>
      </c>
    </row>
    <row r="55">
      <c r="A55" s="7" t="s">
        <v>3</v>
      </c>
      <c r="B55" s="12">
        <f>E47</f>
        <v>1.3784027478909393</v>
      </c>
    </row>
    <row r="56">
      <c r="A56" s="6" t="s">
        <v>54</v>
      </c>
      <c r="B56" s="18" t="str">
        <f>INDEX(A52:A55,MATCH(MAX(B52:B55),B52:B55,0))</f>
        <v>petalw</v>
      </c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" activeCellId="0" sqref="B3"/>
    </sheetView>
  </sheetViews>
  <sheetFormatPr defaultColWidth="8.6640625" defaultRowHeight="14.4"/>
  <cols>
    <col customWidth="1" min="1" max="1" width="16"/>
    <col customWidth="1" min="2" max="9" width="13"/>
  </cols>
  <sheetData>
    <row r="1" ht="19.5" customHeight="1">
      <c r="A1" s="4" t="s">
        <v>55</v>
      </c>
      <c r="B1" s="4"/>
      <c r="C1" s="4"/>
      <c r="D1" s="4"/>
      <c r="E1" s="4"/>
      <c r="F1" s="4"/>
      <c r="G1" s="4"/>
      <c r="H1" s="4"/>
      <c r="I1" s="4"/>
    </row>
    <row r="3" ht="15.6">
      <c r="A3" s="19" t="s">
        <v>56</v>
      </c>
    </row>
    <row r="4">
      <c r="A4" s="2" t="s">
        <v>4</v>
      </c>
      <c r="B4" s="2" t="s">
        <v>23</v>
      </c>
      <c r="C4" s="2" t="s">
        <v>24</v>
      </c>
    </row>
    <row r="5">
      <c r="A5" s="7" t="s">
        <v>25</v>
      </c>
      <c r="B5" s="7">
        <f>COUNTIFS(datos!$E$2:$E$151,"mediano",datos!$F$2:$F$151,"Iris-setosa")</f>
        <v>0</v>
      </c>
      <c r="C5" s="12">
        <f t="shared" ref="C5:C7" si="24">IF($B$8=0,0,B5/$B$8)</f>
        <v>0</v>
      </c>
    </row>
    <row r="6">
      <c r="A6" s="7" t="s">
        <v>26</v>
      </c>
      <c r="B6" s="7">
        <f>COUNTIFS(datos!$E$2:$E$151,"mediano",datos!$F$2:$F$151,"Iris-versicolor")</f>
        <v>49</v>
      </c>
      <c r="C6" s="12">
        <f t="shared" si="24"/>
        <v>0.90740740740740744</v>
      </c>
    </row>
    <row r="7">
      <c r="A7" s="7" t="s">
        <v>27</v>
      </c>
      <c r="B7" s="7">
        <f>COUNTIFS(datos!$E$2:$E$151,"mediano",datos!$F$2:$F$151,"Iris-virginica")</f>
        <v>5</v>
      </c>
      <c r="C7" s="12">
        <f t="shared" si="24"/>
        <v>9.2592592592592587e-002</v>
      </c>
    </row>
    <row r="8">
      <c r="A8" s="15" t="s">
        <v>57</v>
      </c>
      <c r="B8">
        <f>SUM(B5:B7)</f>
        <v>54</v>
      </c>
    </row>
    <row r="9">
      <c r="A9" s="6" t="s">
        <v>58</v>
      </c>
      <c r="B9" s="16">
        <f>-(IF(C5=0,0,C5*LOG(C5,2))+IF(C6=0,0,C6*LOG(C6,2))+IF(C7=0,0,C7*LOG(C7,2)))</f>
        <v>0.44506485705083865</v>
      </c>
    </row>
    <row r="11">
      <c r="A11" s="14" t="s">
        <v>59</v>
      </c>
    </row>
    <row r="12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36</v>
      </c>
      <c r="F12" s="2" t="s">
        <v>37</v>
      </c>
      <c r="G12" s="2" t="s">
        <v>38</v>
      </c>
      <c r="H12" s="2" t="s">
        <v>39</v>
      </c>
      <c r="I12" s="2" t="s">
        <v>40</v>
      </c>
    </row>
    <row r="13">
      <c r="A13" s="7" t="s">
        <v>41</v>
      </c>
      <c r="B13" s="7">
        <f>COUNTIFS(datos!$E$2:$E$151,"mediano",datos!$B$2:$B$151,"chico",datos!$F$2:$F$151,"Iris-setosa")</f>
        <v>0</v>
      </c>
      <c r="C13" s="7">
        <f>COUNTIFS(datos!$E$2:$E$151,"mediano",datos!$B$2:$B$151,"chico",datos!$F$2:$F$151,"Iris-versicolor")</f>
        <v>11</v>
      </c>
      <c r="D13" s="7">
        <f>COUNTIFS(datos!$E$2:$E$151,"mediano",datos!$B$2:$B$151,"chico",datos!$F$2:$F$151,"Iris-virginica")</f>
        <v>1</v>
      </c>
      <c r="E13" s="7">
        <f t="shared" ref="E13:E15" si="25">SUM(B13:D13)</f>
        <v>12</v>
      </c>
      <c r="F13" s="12">
        <f t="shared" ref="F13:H71" si="26">IF($E13=0,0,B13/$E13)</f>
        <v>0</v>
      </c>
      <c r="G13" s="12">
        <f t="shared" si="26"/>
        <v>0.91666666666666663</v>
      </c>
      <c r="H13" s="12">
        <f t="shared" si="26"/>
        <v>8.3333333333333329e-002</v>
      </c>
      <c r="I13" s="12">
        <f t="shared" ref="I13:I71" si="27">-(IF(F13=0,0,F13*LOG(F13,2))+IF(G13=0,0,G13*LOG(G13,2))+IF(H13=0,0,H13*LOG(H13,2)))</f>
        <v>0.41381685030363374</v>
      </c>
    </row>
    <row r="14">
      <c r="A14" s="7" t="s">
        <v>42</v>
      </c>
      <c r="B14" s="7">
        <f>COUNTIFS(datos!$E$2:$E$151,"mediano",datos!$B$2:$B$151,"mediano",datos!$F$2:$F$151,"Iris-setosa")</f>
        <v>0</v>
      </c>
      <c r="C14" s="7">
        <f>COUNTIFS(datos!$E$2:$E$151,"mediano",datos!$B$2:$B$151,"mediano",datos!$F$2:$F$151,"Iris-versicolor")</f>
        <v>35</v>
      </c>
      <c r="D14" s="7">
        <f>COUNTIFS(datos!$E$2:$E$151,"mediano",datos!$B$2:$B$151,"mediano",datos!$F$2:$F$151,"Iris-virginica")</f>
        <v>3</v>
      </c>
      <c r="E14" s="7">
        <f t="shared" si="25"/>
        <v>38</v>
      </c>
      <c r="F14" s="12">
        <f t="shared" si="26"/>
        <v>0</v>
      </c>
      <c r="G14" s="12">
        <f t="shared" si="26"/>
        <v>0.92105263157894735</v>
      </c>
      <c r="H14" s="12">
        <f t="shared" si="26"/>
        <v>7.8947368421052627e-002</v>
      </c>
      <c r="I14" s="12">
        <f t="shared" si="27"/>
        <v>0.39845927409523568</v>
      </c>
    </row>
    <row r="15">
      <c r="A15" s="7" t="s">
        <v>43</v>
      </c>
      <c r="B15" s="7">
        <f>COUNTIFS(datos!$E$2:$E$151,"mediano",datos!$B$2:$B$151,"grande",datos!$F$2:$F$151,"Iris-setosa")</f>
        <v>0</v>
      </c>
      <c r="C15" s="7">
        <f>COUNTIFS(datos!$E$2:$E$151,"mediano",datos!$B$2:$B$151,"grande",datos!$F$2:$F$151,"Iris-versicolor")</f>
        <v>3</v>
      </c>
      <c r="D15" s="7">
        <f>COUNTIFS(datos!$E$2:$E$151,"mediano",datos!$B$2:$B$151,"grande",datos!$F$2:$F$151,"Iris-virginica")</f>
        <v>1</v>
      </c>
      <c r="E15" s="7">
        <f t="shared" si="25"/>
        <v>4</v>
      </c>
      <c r="F15" s="12">
        <f t="shared" si="26"/>
        <v>0</v>
      </c>
      <c r="G15" s="12">
        <f t="shared" si="26"/>
        <v>0.75</v>
      </c>
      <c r="H15" s="12">
        <f t="shared" si="26"/>
        <v>0.25</v>
      </c>
      <c r="I15" s="12">
        <f t="shared" si="27"/>
        <v>0.81127812445913283</v>
      </c>
    </row>
    <row r="16">
      <c r="A16" s="15" t="s">
        <v>60</v>
      </c>
      <c r="E16" s="16">
        <f>SUMPRODUCT(E13:E15,I13:I15)/$B$8</f>
        <v>0.43245124290924247</v>
      </c>
    </row>
    <row r="17">
      <c r="A17" s="6" t="s">
        <v>61</v>
      </c>
      <c r="E17" s="17">
        <f>B9-E16</f>
        <v>1.2613614141596174e-002</v>
      </c>
    </row>
    <row r="19">
      <c r="A19" s="14" t="s">
        <v>62</v>
      </c>
    </row>
    <row r="20">
      <c r="A20" s="2" t="s">
        <v>32</v>
      </c>
      <c r="B20" s="2" t="s">
        <v>33</v>
      </c>
      <c r="C20" s="2" t="s">
        <v>34</v>
      </c>
      <c r="D20" s="2" t="s">
        <v>35</v>
      </c>
      <c r="E20" s="2" t="s">
        <v>36</v>
      </c>
      <c r="F20" s="2" t="s">
        <v>37</v>
      </c>
      <c r="G20" s="2" t="s">
        <v>38</v>
      </c>
      <c r="H20" s="2" t="s">
        <v>39</v>
      </c>
      <c r="I20" s="2" t="s">
        <v>40</v>
      </c>
    </row>
    <row r="21">
      <c r="A21" s="7" t="s">
        <v>41</v>
      </c>
      <c r="B21" s="7">
        <f>COUNTIFS(datos!$E$2:$E$151,"mediano",datos!$C$2:$C$151,"chico",datos!$F$2:$F$151,"Iris-setosa")</f>
        <v>0</v>
      </c>
      <c r="C21" s="7">
        <f>COUNTIFS(datos!$E$2:$E$151,"mediano",datos!$C$2:$C$151,"chico",datos!$F$2:$F$151,"Iris-versicolor")</f>
        <v>27</v>
      </c>
      <c r="D21" s="7">
        <f>COUNTIFS(datos!$E$2:$E$151,"mediano",datos!$C$2:$C$151,"chico",datos!$F$2:$F$151,"Iris-virginica")</f>
        <v>4</v>
      </c>
      <c r="E21" s="7">
        <f t="shared" ref="E21:E23" si="28">SUM(B21:D21)</f>
        <v>31</v>
      </c>
      <c r="F21" s="12">
        <f t="shared" si="26"/>
        <v>0</v>
      </c>
      <c r="G21" s="12">
        <f t="shared" si="26"/>
        <v>0.87096774193548387</v>
      </c>
      <c r="H21" s="12">
        <f t="shared" si="26"/>
        <v>0.12903225806451613</v>
      </c>
      <c r="I21" s="12">
        <f t="shared" si="27"/>
        <v>0.55477816334127361</v>
      </c>
    </row>
    <row r="22">
      <c r="A22" s="7" t="s">
        <v>42</v>
      </c>
      <c r="B22" s="7">
        <f>COUNTIFS(datos!$E$2:$E$151,"mediano",datos!$C$2:$C$151,"mediano",datos!$F$2:$F$151,"Iris-setosa")</f>
        <v>0</v>
      </c>
      <c r="C22" s="7">
        <f>COUNTIFS(datos!$E$2:$E$151,"mediano",datos!$C$2:$C$151,"mediano",datos!$F$2:$F$151,"Iris-versicolor")</f>
        <v>22</v>
      </c>
      <c r="D22" s="7">
        <f>COUNTIFS(datos!$E$2:$E$151,"mediano",datos!$C$2:$C$151,"mediano",datos!$F$2:$F$151,"Iris-virginica")</f>
        <v>1</v>
      </c>
      <c r="E22" s="7">
        <f t="shared" si="28"/>
        <v>23</v>
      </c>
      <c r="F22" s="12">
        <f t="shared" si="26"/>
        <v>0</v>
      </c>
      <c r="G22" s="12">
        <f t="shared" si="26"/>
        <v>0.95652173913043481</v>
      </c>
      <c r="H22" s="12">
        <f t="shared" si="26"/>
        <v>4.3478260869565216e-002</v>
      </c>
      <c r="I22" s="12">
        <f t="shared" si="27"/>
        <v>0.25801866866481549</v>
      </c>
    </row>
    <row r="23">
      <c r="A23" s="7" t="s">
        <v>43</v>
      </c>
      <c r="B23" s="7">
        <f>COUNTIFS(datos!$E$2:$E$151,"mediano",datos!$C$2:$C$151,"grande",datos!$F$2:$F$151,"Iris-setosa")</f>
        <v>0</v>
      </c>
      <c r="C23" s="7">
        <f>COUNTIFS(datos!$E$2:$E$151,"mediano",datos!$C$2:$C$151,"grande",datos!$F$2:$F$151,"Iris-versicolor")</f>
        <v>0</v>
      </c>
      <c r="D23" s="7">
        <f>COUNTIFS(datos!$E$2:$E$151,"mediano",datos!$C$2:$C$151,"grande",datos!$F$2:$F$151,"Iris-virginica")</f>
        <v>0</v>
      </c>
      <c r="E23" s="7">
        <f t="shared" si="28"/>
        <v>0</v>
      </c>
      <c r="F23" s="12">
        <f t="shared" si="26"/>
        <v>0</v>
      </c>
      <c r="G23" s="12">
        <f t="shared" si="26"/>
        <v>0</v>
      </c>
      <c r="H23" s="12">
        <f t="shared" si="26"/>
        <v>0</v>
      </c>
      <c r="I23" s="12">
        <f t="shared" si="27"/>
        <v>0</v>
      </c>
    </row>
    <row r="24">
      <c r="A24" s="15" t="s">
        <v>60</v>
      </c>
      <c r="E24" s="16">
        <f>SUMPRODUCT(E21:E23,I21:I23)/$B$8</f>
        <v>0.42838060079389323</v>
      </c>
    </row>
    <row r="25">
      <c r="A25" s="6" t="s">
        <v>63</v>
      </c>
      <c r="E25" s="17">
        <f>B9-E24</f>
        <v>1.6684256256945418e-002</v>
      </c>
    </row>
    <row r="27">
      <c r="A27" s="14" t="s">
        <v>64</v>
      </c>
    </row>
    <row r="28">
      <c r="A28" s="2" t="s">
        <v>32</v>
      </c>
      <c r="B28" s="2" t="s">
        <v>33</v>
      </c>
      <c r="C28" s="2" t="s">
        <v>34</v>
      </c>
      <c r="D28" s="2" t="s">
        <v>35</v>
      </c>
      <c r="E28" s="2" t="s">
        <v>36</v>
      </c>
      <c r="F28" s="2" t="s">
        <v>37</v>
      </c>
      <c r="G28" s="2" t="s">
        <v>38</v>
      </c>
      <c r="H28" s="2" t="s">
        <v>39</v>
      </c>
      <c r="I28" s="2" t="s">
        <v>40</v>
      </c>
    </row>
    <row r="29">
      <c r="A29" s="7" t="s">
        <v>41</v>
      </c>
      <c r="B29" s="7">
        <f>COUNTIFS(datos!$E$2:$E$151,"mediano",datos!$D$2:$D$151,"chico",datos!$F$2:$F$151,"Iris-setosa")</f>
        <v>0</v>
      </c>
      <c r="C29" s="7">
        <f>COUNTIFS(datos!$E$2:$E$151,"mediano",datos!$D$2:$D$151,"chico",datos!$F$2:$F$151,"Iris-versicolor")</f>
        <v>0</v>
      </c>
      <c r="D29" s="7">
        <f>COUNTIFS(datos!$E$2:$E$151,"mediano",datos!$D$2:$D$151,"chico",datos!$F$2:$F$151,"Iris-virginica")</f>
        <v>0</v>
      </c>
      <c r="E29" s="7">
        <f t="shared" ref="E29:E31" si="29">SUM(B29:D29)</f>
        <v>0</v>
      </c>
      <c r="F29" s="12">
        <f t="shared" si="26"/>
        <v>0</v>
      </c>
      <c r="G29" s="12">
        <f t="shared" si="26"/>
        <v>0</v>
      </c>
      <c r="H29" s="12">
        <f t="shared" si="26"/>
        <v>0</v>
      </c>
      <c r="I29" s="12">
        <f t="shared" si="27"/>
        <v>0</v>
      </c>
    </row>
    <row r="30">
      <c r="A30" s="7" t="s">
        <v>42</v>
      </c>
      <c r="B30" s="7">
        <f>COUNTIFS(datos!$E$2:$E$151,"mediano",datos!$D$2:$D$151,"mediano",datos!$F$2:$F$151,"Iris-setosa")</f>
        <v>0</v>
      </c>
      <c r="C30" s="7">
        <f>COUNTIFS(datos!$E$2:$E$151,"mediano",datos!$D$2:$D$151,"mediano",datos!$F$2:$F$151,"Iris-versicolor")</f>
        <v>47</v>
      </c>
      <c r="D30" s="7">
        <f>COUNTIFS(datos!$E$2:$E$151,"mediano",datos!$D$2:$D$151,"mediano",datos!$F$2:$F$151,"Iris-virginica")</f>
        <v>1</v>
      </c>
      <c r="E30" s="7">
        <f t="shared" si="29"/>
        <v>48</v>
      </c>
      <c r="F30" s="12">
        <f t="shared" si="26"/>
        <v>0</v>
      </c>
      <c r="G30" s="12">
        <f t="shared" si="26"/>
        <v>0.97916666666666663</v>
      </c>
      <c r="H30" s="12">
        <f t="shared" si="26"/>
        <v>2.0833333333333332e-002</v>
      </c>
      <c r="I30" s="12">
        <f t="shared" si="27"/>
        <v>0.14609425012013633</v>
      </c>
    </row>
    <row r="31">
      <c r="A31" s="7" t="s">
        <v>43</v>
      </c>
      <c r="B31" s="7">
        <f>COUNTIFS(datos!$E$2:$E$151,"mediano",datos!$D$2:$D$151,"grande",datos!$F$2:$F$151,"Iris-setosa")</f>
        <v>0</v>
      </c>
      <c r="C31" s="7">
        <f>COUNTIFS(datos!$E$2:$E$151,"mediano",datos!$D$2:$D$151,"grande",datos!$F$2:$F$151,"Iris-versicolor")</f>
        <v>2</v>
      </c>
      <c r="D31" s="7">
        <f>COUNTIFS(datos!$E$2:$E$151,"mediano",datos!$D$2:$D$151,"grande",datos!$F$2:$F$151,"Iris-virginica")</f>
        <v>4</v>
      </c>
      <c r="E31" s="7">
        <f t="shared" si="29"/>
        <v>6</v>
      </c>
      <c r="F31" s="12">
        <f t="shared" si="26"/>
        <v>0</v>
      </c>
      <c r="G31" s="12">
        <f t="shared" si="26"/>
        <v>0.33333333333333331</v>
      </c>
      <c r="H31" s="12">
        <f t="shared" si="26"/>
        <v>0.66666666666666663</v>
      </c>
      <c r="I31" s="12">
        <f t="shared" si="27"/>
        <v>0.91829583405448956</v>
      </c>
    </row>
    <row r="32">
      <c r="A32" s="15" t="s">
        <v>60</v>
      </c>
      <c r="E32" s="16">
        <f>SUMPRODUCT(E29:E31,I29:I31)/$B$8</f>
        <v>0.23189442611284222</v>
      </c>
    </row>
    <row r="33">
      <c r="A33" s="6" t="s">
        <v>65</v>
      </c>
      <c r="E33" s="17">
        <f>B9-E32</f>
        <v>0.21317043093799642</v>
      </c>
    </row>
    <row r="35">
      <c r="A35" s="6" t="s">
        <v>66</v>
      </c>
    </row>
    <row r="36">
      <c r="A36" s="2" t="s">
        <v>11</v>
      </c>
      <c r="B36" s="2" t="s">
        <v>53</v>
      </c>
    </row>
    <row r="37">
      <c r="A37" s="7" t="s">
        <v>0</v>
      </c>
      <c r="B37" s="12">
        <f>E17</f>
        <v>1.2613614141596174e-002</v>
      </c>
    </row>
    <row r="38">
      <c r="A38" s="7" t="s">
        <v>1</v>
      </c>
      <c r="B38" s="12">
        <f>E25</f>
        <v>1.6684256256945418e-002</v>
      </c>
    </row>
    <row r="39">
      <c r="A39" s="7" t="s">
        <v>2</v>
      </c>
      <c r="B39" s="12">
        <f>E33</f>
        <v>0.21317043093799642</v>
      </c>
    </row>
    <row r="40">
      <c r="A40" s="6" t="s">
        <v>67</v>
      </c>
      <c r="B40" s="18" t="str">
        <f>INDEX(A37:A39,MATCH(MAX(B37:B39),B37:B39,0))</f>
        <v>petall</v>
      </c>
    </row>
    <row r="43" ht="15.6">
      <c r="A43" s="19" t="s">
        <v>68</v>
      </c>
    </row>
    <row r="44">
      <c r="A44" s="2" t="s">
        <v>4</v>
      </c>
      <c r="B44" s="2" t="s">
        <v>23</v>
      </c>
      <c r="C44" s="2" t="s">
        <v>24</v>
      </c>
    </row>
    <row r="45">
      <c r="A45" s="7" t="s">
        <v>25</v>
      </c>
      <c r="B45" s="7">
        <f>COUNTIFS(datos!$E$2:$E$151,"grande",datos!$F$2:$F$151,"Iris-setosa")</f>
        <v>0</v>
      </c>
      <c r="C45" s="12">
        <f t="shared" ref="C45:C47" si="30">IF($B$48=0,0,B45/$B$48)</f>
        <v>0</v>
      </c>
    </row>
    <row r="46">
      <c r="A46" s="7" t="s">
        <v>26</v>
      </c>
      <c r="B46" s="7">
        <f>COUNTIFS(datos!$E$2:$E$151,"grande",datos!$F$2:$F$151,"Iris-versicolor")</f>
        <v>1</v>
      </c>
      <c r="C46" s="12">
        <f t="shared" si="30"/>
        <v>2.1739130434782608e-002</v>
      </c>
    </row>
    <row r="47">
      <c r="A47" s="7" t="s">
        <v>27</v>
      </c>
      <c r="B47" s="7">
        <f>COUNTIFS(datos!$E$2:$E$151,"grande",datos!$F$2:$F$151,"Iris-virginica")</f>
        <v>45</v>
      </c>
      <c r="C47" s="12">
        <f t="shared" si="30"/>
        <v>0.97826086956521741</v>
      </c>
    </row>
    <row r="48">
      <c r="A48" s="15" t="s">
        <v>57</v>
      </c>
      <c r="B48">
        <f>SUM(B45:B47)</f>
        <v>46</v>
      </c>
    </row>
    <row r="49">
      <c r="A49" s="6" t="s">
        <v>58</v>
      </c>
      <c r="B49" s="16">
        <f>-(IF(C45=0,0,C45*LOG(C45,2))+IF(C46=0,0,C46*LOG(C46,2))+IF(C47=0,0,C47*LOG(C47,2)))</f>
        <v>0.15109697051711368</v>
      </c>
    </row>
    <row r="51">
      <c r="A51" s="14" t="s">
        <v>59</v>
      </c>
    </row>
    <row r="52">
      <c r="A52" s="2" t="s">
        <v>32</v>
      </c>
      <c r="B52" s="2" t="s">
        <v>33</v>
      </c>
      <c r="C52" s="2" t="s">
        <v>34</v>
      </c>
      <c r="D52" s="2" t="s">
        <v>35</v>
      </c>
      <c r="E52" s="2" t="s">
        <v>36</v>
      </c>
      <c r="F52" s="2" t="s">
        <v>37</v>
      </c>
      <c r="G52" s="2" t="s">
        <v>38</v>
      </c>
      <c r="H52" s="2" t="s">
        <v>39</v>
      </c>
      <c r="I52" s="2" t="s">
        <v>40</v>
      </c>
    </row>
    <row r="53">
      <c r="A53" s="7" t="s">
        <v>41</v>
      </c>
      <c r="B53" s="7">
        <f>COUNTIFS(datos!$E$2:$E$151,"grande",datos!$B$2:$B$151,"chico",datos!$F$2:$F$151,"Iris-setosa")</f>
        <v>0</v>
      </c>
      <c r="C53" s="7">
        <f>COUNTIFS(datos!$E$2:$E$151,"grande",datos!$B$2:$B$151,"chico",datos!$F$2:$F$151,"Iris-versicolor")</f>
        <v>0</v>
      </c>
      <c r="D53" s="7">
        <f>COUNTIFS(datos!$E$2:$E$151,"grande",datos!$B$2:$B$151,"chico",datos!$F$2:$F$151,"Iris-virginica")</f>
        <v>0</v>
      </c>
      <c r="E53" s="7">
        <f t="shared" ref="E53:E55" si="31">SUM(B53:D53)</f>
        <v>0</v>
      </c>
      <c r="F53" s="12">
        <f t="shared" si="26"/>
        <v>0</v>
      </c>
      <c r="G53" s="12">
        <f t="shared" si="26"/>
        <v>0</v>
      </c>
      <c r="H53" s="12">
        <f t="shared" si="26"/>
        <v>0</v>
      </c>
      <c r="I53" s="12">
        <f t="shared" si="27"/>
        <v>0</v>
      </c>
    </row>
    <row r="54">
      <c r="A54" s="7" t="s">
        <v>42</v>
      </c>
      <c r="B54" s="7">
        <f>COUNTIFS(datos!$E$2:$E$151,"grande",datos!$B$2:$B$151,"mediano",datos!$F$2:$F$151,"Iris-setosa")</f>
        <v>0</v>
      </c>
      <c r="C54" s="7">
        <f>COUNTIFS(datos!$E$2:$E$151,"grande",datos!$B$2:$B$151,"mediano",datos!$F$2:$F$151,"Iris-versicolor")</f>
        <v>1</v>
      </c>
      <c r="D54" s="7">
        <f>COUNTIFS(datos!$E$2:$E$151,"grande",datos!$B$2:$B$151,"mediano",datos!$F$2:$F$151,"Iris-virginica")</f>
        <v>29</v>
      </c>
      <c r="E54" s="7">
        <f t="shared" si="31"/>
        <v>30</v>
      </c>
      <c r="F54" s="12">
        <f t="shared" si="26"/>
        <v>0</v>
      </c>
      <c r="G54" s="12">
        <f t="shared" si="26"/>
        <v>3.3333333333333333e-002</v>
      </c>
      <c r="H54" s="12">
        <f t="shared" si="26"/>
        <v>0.96666666666666667</v>
      </c>
      <c r="I54" s="12">
        <f t="shared" si="27"/>
        <v>0.21084230031853213</v>
      </c>
    </row>
    <row r="55">
      <c r="A55" s="7" t="s">
        <v>43</v>
      </c>
      <c r="B55" s="7">
        <f>COUNTIFS(datos!$E$2:$E$151,"grande",datos!$B$2:$B$151,"grande",datos!$F$2:$F$151,"Iris-setosa")</f>
        <v>0</v>
      </c>
      <c r="C55" s="7">
        <f>COUNTIFS(datos!$E$2:$E$151,"grande",datos!$B$2:$B$151,"grande",datos!$F$2:$F$151,"Iris-versicolor")</f>
        <v>0</v>
      </c>
      <c r="D55" s="7">
        <f>COUNTIFS(datos!$E$2:$E$151,"grande",datos!$B$2:$B$151,"grande",datos!$F$2:$F$151,"Iris-virginica")</f>
        <v>16</v>
      </c>
      <c r="E55" s="7">
        <f t="shared" si="31"/>
        <v>16</v>
      </c>
      <c r="F55" s="12">
        <f t="shared" si="26"/>
        <v>0</v>
      </c>
      <c r="G55" s="12">
        <f t="shared" si="26"/>
        <v>0</v>
      </c>
      <c r="H55" s="12">
        <f t="shared" si="26"/>
        <v>1</v>
      </c>
      <c r="I55" s="12">
        <f t="shared" si="27"/>
        <v>0</v>
      </c>
    </row>
    <row r="56">
      <c r="A56" s="15" t="s">
        <v>60</v>
      </c>
      <c r="E56" s="16">
        <f>SUMPRODUCT(E53:E55,I53:I55)/$B$48</f>
        <v>0.13750584803382529</v>
      </c>
    </row>
    <row r="57">
      <c r="A57" s="6" t="s">
        <v>61</v>
      </c>
      <c r="E57" s="17">
        <f>B49-E56</f>
        <v>1.3591122483288393e-002</v>
      </c>
    </row>
    <row r="59">
      <c r="A59" s="14" t="s">
        <v>62</v>
      </c>
    </row>
    <row r="60">
      <c r="A60" s="2" t="s">
        <v>32</v>
      </c>
      <c r="B60" s="2" t="s">
        <v>33</v>
      </c>
      <c r="C60" s="2" t="s">
        <v>34</v>
      </c>
      <c r="D60" s="2" t="s">
        <v>35</v>
      </c>
      <c r="E60" s="2" t="s">
        <v>36</v>
      </c>
      <c r="F60" s="2" t="s">
        <v>37</v>
      </c>
      <c r="G60" s="2" t="s">
        <v>38</v>
      </c>
      <c r="H60" s="2" t="s">
        <v>39</v>
      </c>
      <c r="I60" s="2" t="s">
        <v>40</v>
      </c>
    </row>
    <row r="61">
      <c r="A61" s="7" t="s">
        <v>41</v>
      </c>
      <c r="B61" s="7">
        <f>COUNTIFS(datos!$E$2:$E$151,"grande",datos!$C$2:$C$151,"chico",datos!$F$2:$F$151,"Iris-setosa")</f>
        <v>0</v>
      </c>
      <c r="C61" s="7">
        <f>COUNTIFS(datos!$E$2:$E$151,"grande",datos!$C$2:$C$151,"chico",datos!$F$2:$F$151,"Iris-versicolor")</f>
        <v>0</v>
      </c>
      <c r="D61" s="7">
        <f>COUNTIFS(datos!$E$2:$E$151,"grande",datos!$C$2:$C$151,"chico",datos!$F$2:$F$151,"Iris-virginica")</f>
        <v>15</v>
      </c>
      <c r="E61" s="7">
        <f t="shared" ref="E61:E63" si="32">SUM(B61:D61)</f>
        <v>15</v>
      </c>
      <c r="F61" s="12">
        <f t="shared" si="26"/>
        <v>0</v>
      </c>
      <c r="G61" s="12">
        <f t="shared" si="26"/>
        <v>0</v>
      </c>
      <c r="H61" s="12">
        <f t="shared" si="26"/>
        <v>1</v>
      </c>
      <c r="I61" s="12">
        <f t="shared" si="27"/>
        <v>0</v>
      </c>
    </row>
    <row r="62">
      <c r="A62" s="7" t="s">
        <v>42</v>
      </c>
      <c r="B62" s="7">
        <f>COUNTIFS(datos!$E$2:$E$151,"grande",datos!$C$2:$C$151,"mediano",datos!$F$2:$F$151,"Iris-setosa")</f>
        <v>0</v>
      </c>
      <c r="C62" s="7">
        <f>COUNTIFS(datos!$E$2:$E$151,"grande",datos!$C$2:$C$151,"mediano",datos!$F$2:$F$151,"Iris-versicolor")</f>
        <v>1</v>
      </c>
      <c r="D62" s="7">
        <f>COUNTIFS(datos!$E$2:$E$151,"grande",datos!$C$2:$C$151,"mediano",datos!$F$2:$F$151,"Iris-virginica")</f>
        <v>28</v>
      </c>
      <c r="E62" s="7">
        <f t="shared" si="32"/>
        <v>29</v>
      </c>
      <c r="F62" s="12">
        <f t="shared" si="26"/>
        <v>0</v>
      </c>
      <c r="G62" s="12">
        <f t="shared" si="26"/>
        <v>3.4482758620689655e-002</v>
      </c>
      <c r="H62" s="12">
        <f t="shared" si="26"/>
        <v>0.96551724137931039</v>
      </c>
      <c r="I62" s="12">
        <f t="shared" si="27"/>
        <v>0.21639693245126468</v>
      </c>
    </row>
    <row r="63">
      <c r="A63" s="7" t="s">
        <v>43</v>
      </c>
      <c r="B63" s="7">
        <f>COUNTIFS(datos!$E$2:$E$151,"grande",datos!$C$2:$C$151,"grande",datos!$F$2:$F$151,"Iris-setosa")</f>
        <v>0</v>
      </c>
      <c r="C63" s="7">
        <f>COUNTIFS(datos!$E$2:$E$151,"grande",datos!$C$2:$C$151,"grande",datos!$F$2:$F$151,"Iris-versicolor")</f>
        <v>0</v>
      </c>
      <c r="D63" s="7">
        <f>COUNTIFS(datos!$E$2:$E$151,"grande",datos!$C$2:$C$151,"grande",datos!$F$2:$F$151,"Iris-virginica")</f>
        <v>2</v>
      </c>
      <c r="E63" s="7">
        <f t="shared" si="32"/>
        <v>2</v>
      </c>
      <c r="F63" s="12">
        <f t="shared" si="26"/>
        <v>0</v>
      </c>
      <c r="G63" s="12">
        <f t="shared" si="26"/>
        <v>0</v>
      </c>
      <c r="H63" s="12">
        <f t="shared" si="26"/>
        <v>1</v>
      </c>
      <c r="I63" s="12">
        <f t="shared" si="27"/>
        <v>0</v>
      </c>
    </row>
    <row r="64">
      <c r="A64" s="15" t="s">
        <v>60</v>
      </c>
      <c r="E64" s="16">
        <f>SUMPRODUCT(E61:E63,I61:I63)/$B$48</f>
        <v>0.13642415306710162</v>
      </c>
    </row>
    <row r="65">
      <c r="A65" s="6" t="s">
        <v>63</v>
      </c>
      <c r="E65" s="17">
        <f>B49-E64</f>
        <v>1.467281745001206e-002</v>
      </c>
    </row>
    <row r="67">
      <c r="A67" s="14" t="s">
        <v>64</v>
      </c>
    </row>
    <row r="68">
      <c r="A68" s="2" t="s">
        <v>32</v>
      </c>
      <c r="B68" s="2" t="s">
        <v>33</v>
      </c>
      <c r="C68" s="2" t="s">
        <v>34</v>
      </c>
      <c r="D68" s="2" t="s">
        <v>35</v>
      </c>
      <c r="E68" s="2" t="s">
        <v>36</v>
      </c>
      <c r="F68" s="2" t="s">
        <v>37</v>
      </c>
      <c r="G68" s="2" t="s">
        <v>38</v>
      </c>
      <c r="H68" s="2" t="s">
        <v>39</v>
      </c>
      <c r="I68" s="2" t="s">
        <v>40</v>
      </c>
    </row>
    <row r="69">
      <c r="A69" s="7" t="s">
        <v>41</v>
      </c>
      <c r="B69" s="7">
        <f>COUNTIFS(datos!$E$2:$E$151,"grande",datos!$D$2:$D$151,"chico",datos!$F$2:$F$151,"Iris-setosa")</f>
        <v>0</v>
      </c>
      <c r="C69" s="7">
        <f>COUNTIFS(datos!$E$2:$E$151,"grande",datos!$D$2:$D$151,"chico",datos!$F$2:$F$151,"Iris-versicolor")</f>
        <v>0</v>
      </c>
      <c r="D69" s="7">
        <f>COUNTIFS(datos!$E$2:$E$151,"grande",datos!$D$2:$D$151,"chico",datos!$F$2:$F$151,"Iris-virginica")</f>
        <v>0</v>
      </c>
      <c r="E69" s="7">
        <f t="shared" ref="E69:E71" si="33">SUM(B69:D69)</f>
        <v>0</v>
      </c>
      <c r="F69" s="12">
        <f t="shared" si="26"/>
        <v>0</v>
      </c>
      <c r="G69" s="12">
        <f t="shared" si="26"/>
        <v>0</v>
      </c>
      <c r="H69" s="12">
        <f t="shared" si="26"/>
        <v>0</v>
      </c>
      <c r="I69" s="12">
        <f t="shared" si="27"/>
        <v>0</v>
      </c>
    </row>
    <row r="70">
      <c r="A70" s="7" t="s">
        <v>42</v>
      </c>
      <c r="B70" s="7">
        <f>COUNTIFS(datos!$E$2:$E$151,"grande",datos!$D$2:$D$151,"mediano",datos!$F$2:$F$151,"Iris-setosa")</f>
        <v>0</v>
      </c>
      <c r="C70" s="7">
        <f>COUNTIFS(datos!$E$2:$E$151,"grande",datos!$D$2:$D$151,"mediano",datos!$F$2:$F$151,"Iris-versicolor")</f>
        <v>1</v>
      </c>
      <c r="D70" s="7">
        <f>COUNTIFS(datos!$E$2:$E$151,"grande",datos!$D$2:$D$151,"mediano",datos!$F$2:$F$151,"Iris-virginica")</f>
        <v>5</v>
      </c>
      <c r="E70" s="7">
        <f t="shared" si="33"/>
        <v>6</v>
      </c>
      <c r="F70" s="12">
        <f t="shared" si="26"/>
        <v>0</v>
      </c>
      <c r="G70" s="12">
        <f t="shared" si="26"/>
        <v>0.16666666666666666</v>
      </c>
      <c r="H70" s="12">
        <f t="shared" si="26"/>
        <v>0.83333333333333337</v>
      </c>
      <c r="I70" s="12">
        <f t="shared" si="27"/>
        <v>0.65002242164835411</v>
      </c>
    </row>
    <row r="71">
      <c r="A71" s="7" t="s">
        <v>43</v>
      </c>
      <c r="B71" s="7">
        <f>COUNTIFS(datos!$E$2:$E$151,"grande",datos!$D$2:$D$151,"grande",datos!$F$2:$F$151,"Iris-setosa")</f>
        <v>0</v>
      </c>
      <c r="C71" s="7">
        <f>COUNTIFS(datos!$E$2:$E$151,"grande",datos!$D$2:$D$151,"grande",datos!$F$2:$F$151,"Iris-versicolor")</f>
        <v>0</v>
      </c>
      <c r="D71" s="7">
        <f>COUNTIFS(datos!$E$2:$E$151,"grande",datos!$D$2:$D$151,"grande",datos!$F$2:$F$151,"Iris-virginica")</f>
        <v>40</v>
      </c>
      <c r="E71" s="7">
        <f t="shared" si="33"/>
        <v>40</v>
      </c>
      <c r="F71" s="12">
        <f t="shared" si="26"/>
        <v>0</v>
      </c>
      <c r="G71" s="12">
        <f t="shared" si="26"/>
        <v>0</v>
      </c>
      <c r="H71" s="12">
        <f t="shared" si="26"/>
        <v>1</v>
      </c>
      <c r="I71" s="12">
        <f t="shared" si="27"/>
        <v>0</v>
      </c>
    </row>
    <row r="72">
      <c r="A72" s="15" t="s">
        <v>60</v>
      </c>
      <c r="E72" s="16">
        <f>SUMPRODUCT(E69:E71,I69:I71)/$B$48</f>
        <v>8.4785533258480969e-002</v>
      </c>
    </row>
    <row r="73">
      <c r="A73" s="6" t="s">
        <v>65</v>
      </c>
      <c r="E73" s="17">
        <f>B49-E72</f>
        <v>6.6311437258632713e-002</v>
      </c>
    </row>
    <row r="75">
      <c r="A75" s="6" t="s">
        <v>66</v>
      </c>
    </row>
    <row r="76">
      <c r="A76" s="2" t="s">
        <v>11</v>
      </c>
      <c r="B76" s="2" t="s">
        <v>53</v>
      </c>
    </row>
    <row r="77">
      <c r="A77" s="7" t="s">
        <v>0</v>
      </c>
      <c r="B77" s="12">
        <f>E57</f>
        <v>1.3591122483288393e-002</v>
      </c>
    </row>
    <row r="78">
      <c r="A78" s="7" t="s">
        <v>1</v>
      </c>
      <c r="B78" s="12">
        <f>E65</f>
        <v>1.467281745001206e-002</v>
      </c>
    </row>
    <row r="79">
      <c r="A79" s="7" t="s">
        <v>2</v>
      </c>
      <c r="B79" s="12">
        <f>E73</f>
        <v>6.6311437258632713e-002</v>
      </c>
    </row>
    <row r="80">
      <c r="A80" s="6" t="s">
        <v>69</v>
      </c>
      <c r="B80" s="18" t="str">
        <f>INDEX(A77:A79,MATCH(MAX(B77:B79),B77:B79,0))</f>
        <v>petall</v>
      </c>
    </row>
  </sheetData>
  <mergeCells count="1">
    <mergeCell ref="A1:I1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ySplit="2" topLeftCell="A3" activePane="bottomLeft" state="frozen"/>
      <selection activeCell="A1" activeCellId="0" sqref="A1:F1"/>
    </sheetView>
  </sheetViews>
  <sheetFormatPr defaultColWidth="8.6640625" defaultRowHeight="14.4"/>
  <cols>
    <col customWidth="1" min="1" max="1" width="7"/>
    <col customWidth="1" min="2" max="2" width="60"/>
    <col customWidth="1" min="3" max="3" width="12"/>
    <col customWidth="1" min="4" max="4" width="10"/>
    <col customWidth="1" min="5" max="5" width="26"/>
    <col customWidth="1" min="6" max="6" width="40"/>
  </cols>
  <sheetData>
    <row r="1" ht="19.5" customHeight="1">
      <c r="A1" s="4" t="s">
        <v>70</v>
      </c>
      <c r="B1" s="4"/>
      <c r="C1" s="4"/>
      <c r="D1" s="4"/>
      <c r="E1" s="4"/>
      <c r="F1" s="4"/>
    </row>
    <row r="2">
      <c r="A2" s="2" t="s">
        <v>71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</row>
    <row r="3">
      <c r="A3" s="7">
        <v>0</v>
      </c>
      <c r="B3" s="7" t="s">
        <v>77</v>
      </c>
      <c r="C3" s="7">
        <v>150</v>
      </c>
      <c r="D3" s="7" t="s">
        <v>78</v>
      </c>
      <c r="E3" s="7" t="s">
        <v>79</v>
      </c>
      <c r="F3" s="7"/>
    </row>
    <row r="4">
      <c r="A4" s="20">
        <v>1</v>
      </c>
      <c r="B4" s="20" t="s">
        <v>80</v>
      </c>
      <c r="C4" s="20">
        <v>50</v>
      </c>
      <c r="D4" s="20" t="s">
        <v>81</v>
      </c>
      <c r="E4" s="20" t="s">
        <v>25</v>
      </c>
      <c r="F4" s="20" t="s">
        <v>82</v>
      </c>
    </row>
    <row r="5">
      <c r="A5" s="7">
        <v>1</v>
      </c>
      <c r="B5" s="7" t="s">
        <v>83</v>
      </c>
      <c r="C5" s="7">
        <v>54</v>
      </c>
      <c r="D5" s="7" t="s">
        <v>78</v>
      </c>
      <c r="E5" s="7" t="s">
        <v>84</v>
      </c>
      <c r="F5" s="7"/>
    </row>
    <row r="6">
      <c r="A6" s="21">
        <v>2</v>
      </c>
      <c r="B6" s="21" t="s">
        <v>85</v>
      </c>
      <c r="C6" s="21">
        <v>0</v>
      </c>
      <c r="D6" s="21" t="s">
        <v>81</v>
      </c>
      <c r="E6" s="21" t="s">
        <v>26</v>
      </c>
      <c r="F6" s="21" t="s">
        <v>86</v>
      </c>
    </row>
    <row r="7">
      <c r="A7" s="7">
        <v>2</v>
      </c>
      <c r="B7" s="7" t="s">
        <v>87</v>
      </c>
      <c r="C7" s="7">
        <v>48</v>
      </c>
      <c r="D7" s="7" t="s">
        <v>78</v>
      </c>
      <c r="E7" s="7" t="s">
        <v>88</v>
      </c>
      <c r="F7" s="7"/>
    </row>
    <row r="8">
      <c r="A8" s="7">
        <v>3</v>
      </c>
      <c r="B8" s="7" t="s">
        <v>89</v>
      </c>
      <c r="C8" s="7">
        <v>12</v>
      </c>
      <c r="D8" s="7" t="s">
        <v>78</v>
      </c>
      <c r="E8" s="7" t="s">
        <v>90</v>
      </c>
      <c r="F8" s="7"/>
    </row>
    <row r="9">
      <c r="A9" s="20">
        <v>4</v>
      </c>
      <c r="B9" s="20" t="s">
        <v>91</v>
      </c>
      <c r="C9" s="20">
        <v>11</v>
      </c>
      <c r="D9" s="20" t="s">
        <v>81</v>
      </c>
      <c r="E9" s="20" t="s">
        <v>26</v>
      </c>
      <c r="F9" s="20" t="s">
        <v>92</v>
      </c>
    </row>
    <row r="10">
      <c r="A10" s="20">
        <v>4</v>
      </c>
      <c r="B10" s="20" t="s">
        <v>93</v>
      </c>
      <c r="C10" s="20">
        <v>1</v>
      </c>
      <c r="D10" s="20" t="s">
        <v>81</v>
      </c>
      <c r="E10" s="20" t="s">
        <v>26</v>
      </c>
      <c r="F10" s="20" t="s">
        <v>82</v>
      </c>
    </row>
    <row r="11">
      <c r="A11" s="21">
        <v>4</v>
      </c>
      <c r="B11" s="21" t="s">
        <v>94</v>
      </c>
      <c r="C11" s="21">
        <v>0</v>
      </c>
      <c r="D11" s="21" t="s">
        <v>81</v>
      </c>
      <c r="E11" s="21" t="s">
        <v>26</v>
      </c>
      <c r="F11" s="21" t="s">
        <v>86</v>
      </c>
    </row>
    <row r="12">
      <c r="A12" s="20">
        <v>3</v>
      </c>
      <c r="B12" s="20" t="s">
        <v>95</v>
      </c>
      <c r="C12" s="20">
        <v>33</v>
      </c>
      <c r="D12" s="20" t="s">
        <v>81</v>
      </c>
      <c r="E12" s="20" t="s">
        <v>26</v>
      </c>
      <c r="F12" s="20" t="s">
        <v>82</v>
      </c>
    </row>
    <row r="13">
      <c r="A13" s="20">
        <v>3</v>
      </c>
      <c r="B13" s="20" t="s">
        <v>96</v>
      </c>
      <c r="C13" s="20">
        <v>3</v>
      </c>
      <c r="D13" s="20" t="s">
        <v>81</v>
      </c>
      <c r="E13" s="20" t="s">
        <v>26</v>
      </c>
      <c r="F13" s="20" t="s">
        <v>82</v>
      </c>
    </row>
    <row r="14">
      <c r="A14" s="7">
        <v>2</v>
      </c>
      <c r="B14" s="7" t="s">
        <v>97</v>
      </c>
      <c r="C14" s="7">
        <v>6</v>
      </c>
      <c r="D14" s="7" t="s">
        <v>78</v>
      </c>
      <c r="E14" s="7" t="s">
        <v>98</v>
      </c>
      <c r="F14" s="7"/>
    </row>
    <row r="15">
      <c r="A15" s="21">
        <v>3</v>
      </c>
      <c r="B15" s="21" t="s">
        <v>89</v>
      </c>
      <c r="C15" s="21">
        <v>0</v>
      </c>
      <c r="D15" s="21" t="s">
        <v>81</v>
      </c>
      <c r="E15" s="21" t="s">
        <v>27</v>
      </c>
      <c r="F15" s="21" t="s">
        <v>86</v>
      </c>
    </row>
    <row r="16">
      <c r="A16" s="7">
        <v>3</v>
      </c>
      <c r="B16" s="7" t="s">
        <v>95</v>
      </c>
      <c r="C16" s="7">
        <v>5</v>
      </c>
      <c r="D16" s="7" t="s">
        <v>78</v>
      </c>
      <c r="E16" s="7" t="s">
        <v>99</v>
      </c>
      <c r="F16" s="7"/>
    </row>
    <row r="17">
      <c r="A17" s="20">
        <v>4</v>
      </c>
      <c r="B17" s="20" t="s">
        <v>91</v>
      </c>
      <c r="C17" s="20">
        <v>4</v>
      </c>
      <c r="D17" s="20" t="s">
        <v>81</v>
      </c>
      <c r="E17" s="20" t="s">
        <v>27</v>
      </c>
      <c r="F17" s="20" t="s">
        <v>92</v>
      </c>
    </row>
    <row r="18">
      <c r="A18" s="20">
        <v>4</v>
      </c>
      <c r="B18" s="20" t="s">
        <v>93</v>
      </c>
      <c r="C18" s="20">
        <v>1</v>
      </c>
      <c r="D18" s="20" t="s">
        <v>81</v>
      </c>
      <c r="E18" s="20" t="s">
        <v>26</v>
      </c>
      <c r="F18" s="20" t="s">
        <v>82</v>
      </c>
    </row>
    <row r="19">
      <c r="A19" s="21">
        <v>4</v>
      </c>
      <c r="B19" s="21" t="s">
        <v>94</v>
      </c>
      <c r="C19" s="21">
        <v>0</v>
      </c>
      <c r="D19" s="21" t="s">
        <v>81</v>
      </c>
      <c r="E19" s="21" t="s">
        <v>27</v>
      </c>
      <c r="F19" s="21" t="s">
        <v>86</v>
      </c>
    </row>
    <row r="20">
      <c r="A20" s="20">
        <v>3</v>
      </c>
      <c r="B20" s="20" t="s">
        <v>96</v>
      </c>
      <c r="C20" s="20">
        <v>1</v>
      </c>
      <c r="D20" s="20" t="s">
        <v>81</v>
      </c>
      <c r="E20" s="20" t="s">
        <v>27</v>
      </c>
      <c r="F20" s="20" t="s">
        <v>82</v>
      </c>
    </row>
    <row r="21">
      <c r="A21" s="7">
        <v>1</v>
      </c>
      <c r="B21" s="7" t="s">
        <v>100</v>
      </c>
      <c r="C21" s="7">
        <v>46</v>
      </c>
      <c r="D21" s="7" t="s">
        <v>78</v>
      </c>
      <c r="E21" s="7" t="s">
        <v>101</v>
      </c>
      <c r="F21" s="7"/>
    </row>
    <row r="22">
      <c r="A22" s="21">
        <v>2</v>
      </c>
      <c r="B22" s="21" t="s">
        <v>85</v>
      </c>
      <c r="C22" s="21">
        <v>0</v>
      </c>
      <c r="D22" s="21" t="s">
        <v>81</v>
      </c>
      <c r="E22" s="21" t="s">
        <v>27</v>
      </c>
      <c r="F22" s="21" t="s">
        <v>86</v>
      </c>
    </row>
    <row r="23">
      <c r="A23" s="7">
        <v>2</v>
      </c>
      <c r="B23" s="7" t="s">
        <v>87</v>
      </c>
      <c r="C23" s="7">
        <v>6</v>
      </c>
      <c r="D23" s="7" t="s">
        <v>78</v>
      </c>
      <c r="E23" s="7" t="s">
        <v>102</v>
      </c>
      <c r="F23" s="7"/>
    </row>
    <row r="24">
      <c r="A24" s="20">
        <v>3</v>
      </c>
      <c r="B24" s="20" t="s">
        <v>103</v>
      </c>
      <c r="C24" s="20">
        <v>3</v>
      </c>
      <c r="D24" s="20" t="s">
        <v>81</v>
      </c>
      <c r="E24" s="20" t="s">
        <v>27</v>
      </c>
      <c r="F24" s="20" t="s">
        <v>82</v>
      </c>
    </row>
    <row r="25">
      <c r="A25" s="7">
        <v>3</v>
      </c>
      <c r="B25" s="7" t="s">
        <v>104</v>
      </c>
      <c r="C25" s="7">
        <v>3</v>
      </c>
      <c r="D25" s="7" t="s">
        <v>78</v>
      </c>
      <c r="E25" s="7" t="s">
        <v>105</v>
      </c>
      <c r="F25" s="7"/>
    </row>
    <row r="26">
      <c r="A26" s="21">
        <v>4</v>
      </c>
      <c r="B26" s="21" t="s">
        <v>106</v>
      </c>
      <c r="C26" s="21">
        <v>0</v>
      </c>
      <c r="D26" s="21" t="s">
        <v>81</v>
      </c>
      <c r="E26" s="21" t="s">
        <v>27</v>
      </c>
      <c r="F26" s="21" t="s">
        <v>86</v>
      </c>
    </row>
    <row r="27">
      <c r="A27" s="20">
        <v>4</v>
      </c>
      <c r="B27" s="20" t="s">
        <v>107</v>
      </c>
      <c r="C27" s="20">
        <v>3</v>
      </c>
      <c r="D27" s="20" t="s">
        <v>81</v>
      </c>
      <c r="E27" s="20" t="s">
        <v>27</v>
      </c>
      <c r="F27" s="20" t="s">
        <v>92</v>
      </c>
    </row>
    <row r="28">
      <c r="A28" s="21">
        <v>4</v>
      </c>
      <c r="B28" s="21" t="s">
        <v>108</v>
      </c>
      <c r="C28" s="21">
        <v>0</v>
      </c>
      <c r="D28" s="21" t="s">
        <v>81</v>
      </c>
      <c r="E28" s="21" t="s">
        <v>27</v>
      </c>
      <c r="F28" s="21" t="s">
        <v>86</v>
      </c>
    </row>
    <row r="29">
      <c r="A29" s="21">
        <v>3</v>
      </c>
      <c r="B29" s="21" t="s">
        <v>109</v>
      </c>
      <c r="C29" s="21">
        <v>0</v>
      </c>
      <c r="D29" s="21" t="s">
        <v>81</v>
      </c>
      <c r="E29" s="21" t="s">
        <v>27</v>
      </c>
      <c r="F29" s="21" t="s">
        <v>86</v>
      </c>
    </row>
    <row r="30">
      <c r="A30" s="20">
        <v>2</v>
      </c>
      <c r="B30" s="20" t="s">
        <v>97</v>
      </c>
      <c r="C30" s="20">
        <v>40</v>
      </c>
      <c r="D30" s="20" t="s">
        <v>81</v>
      </c>
      <c r="E30" s="20" t="s">
        <v>27</v>
      </c>
      <c r="F30" s="20" t="s">
        <v>82</v>
      </c>
    </row>
  </sheetData>
  <mergeCells count="1">
    <mergeCell ref="A1:F1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H1"/>
    </sheetView>
  </sheetViews>
  <sheetFormatPr defaultColWidth="8.6640625" defaultRowHeight="14.25"/>
  <cols>
    <col customWidth="1" min="1" max="1" width="6"/>
    <col customWidth="1" min="2" max="4" width="10"/>
    <col customWidth="1" min="5" max="5" width="19.28125"/>
    <col customWidth="1" min="6" max="6" width="34.421875"/>
    <col customWidth="1" min="7" max="7" width="20"/>
    <col customWidth="1" min="8" max="8" width="10"/>
  </cols>
  <sheetData>
    <row r="1" ht="19.5" customHeight="1">
      <c r="A1" s="22" t="s">
        <v>110</v>
      </c>
      <c r="B1" s="22"/>
      <c r="C1" s="22"/>
      <c r="D1" s="22"/>
      <c r="E1" s="22"/>
      <c r="F1" s="22"/>
      <c r="G1" s="23"/>
      <c r="H1" s="23"/>
    </row>
    <row r="2">
      <c r="A2" s="24" t="s">
        <v>20</v>
      </c>
      <c r="B2" s="24" t="s">
        <v>0</v>
      </c>
      <c r="C2" s="24" t="s">
        <v>1</v>
      </c>
      <c r="D2" s="24" t="s">
        <v>2</v>
      </c>
      <c r="E2" s="24" t="s">
        <v>3</v>
      </c>
      <c r="F2" s="24" t="s">
        <v>111</v>
      </c>
    </row>
    <row r="3">
      <c r="A3" s="25">
        <v>1</v>
      </c>
      <c r="B3" s="25" t="s">
        <v>41</v>
      </c>
      <c r="C3" s="25" t="s">
        <v>42</v>
      </c>
      <c r="D3" s="25" t="s">
        <v>41</v>
      </c>
      <c r="E3" s="25" t="s">
        <v>41</v>
      </c>
      <c r="F3" s="25" t="s">
        <v>5</v>
      </c>
    </row>
    <row r="4">
      <c r="A4" s="25">
        <v>2</v>
      </c>
      <c r="B4" s="25" t="s">
        <v>41</v>
      </c>
      <c r="C4" s="25" t="s">
        <v>42</v>
      </c>
      <c r="D4" s="25" t="s">
        <v>41</v>
      </c>
      <c r="E4" s="25" t="s">
        <v>41</v>
      </c>
      <c r="F4" s="25" t="s">
        <v>5</v>
      </c>
    </row>
    <row r="5">
      <c r="A5" s="25">
        <v>3</v>
      </c>
      <c r="B5" s="25" t="s">
        <v>41</v>
      </c>
      <c r="C5" s="25" t="s">
        <v>42</v>
      </c>
      <c r="D5" s="25" t="s">
        <v>41</v>
      </c>
      <c r="E5" s="25" t="s">
        <v>41</v>
      </c>
      <c r="F5" s="25" t="s">
        <v>5</v>
      </c>
    </row>
    <row r="6">
      <c r="A6" s="25">
        <v>4</v>
      </c>
      <c r="B6" s="25" t="s">
        <v>41</v>
      </c>
      <c r="C6" s="25" t="s">
        <v>42</v>
      </c>
      <c r="D6" s="25" t="s">
        <v>41</v>
      </c>
      <c r="E6" s="25" t="s">
        <v>41</v>
      </c>
      <c r="F6" s="25" t="s">
        <v>5</v>
      </c>
    </row>
    <row r="7">
      <c r="A7" s="25">
        <v>5</v>
      </c>
      <c r="B7" s="25" t="s">
        <v>41</v>
      </c>
      <c r="C7" s="25" t="s">
        <v>42</v>
      </c>
      <c r="D7" s="25" t="s">
        <v>41</v>
      </c>
      <c r="E7" s="25" t="s">
        <v>41</v>
      </c>
      <c r="F7" s="25" t="s">
        <v>5</v>
      </c>
    </row>
    <row r="8">
      <c r="A8" s="25">
        <v>6</v>
      </c>
      <c r="B8" s="25" t="s">
        <v>41</v>
      </c>
      <c r="C8" s="25" t="s">
        <v>43</v>
      </c>
      <c r="D8" s="25" t="s">
        <v>41</v>
      </c>
      <c r="E8" s="25" t="s">
        <v>41</v>
      </c>
      <c r="F8" s="25" t="s">
        <v>5</v>
      </c>
    </row>
    <row r="9">
      <c r="A9" s="25">
        <v>7</v>
      </c>
      <c r="B9" s="25" t="s">
        <v>41</v>
      </c>
      <c r="C9" s="25" t="s">
        <v>42</v>
      </c>
      <c r="D9" s="25" t="s">
        <v>41</v>
      </c>
      <c r="E9" s="25" t="s">
        <v>41</v>
      </c>
      <c r="F9" s="25" t="s">
        <v>5</v>
      </c>
    </row>
    <row r="10">
      <c r="A10" s="25">
        <v>8</v>
      </c>
      <c r="B10" s="25" t="s">
        <v>41</v>
      </c>
      <c r="C10" s="25" t="s">
        <v>42</v>
      </c>
      <c r="D10" s="25" t="s">
        <v>41</v>
      </c>
      <c r="E10" s="25" t="s">
        <v>41</v>
      </c>
      <c r="F10" s="25" t="s">
        <v>5</v>
      </c>
    </row>
    <row r="11">
      <c r="A11" s="25">
        <v>9</v>
      </c>
      <c r="B11" s="25" t="s">
        <v>41</v>
      </c>
      <c r="C11" s="25" t="s">
        <v>42</v>
      </c>
      <c r="D11" s="25" t="s">
        <v>41</v>
      </c>
      <c r="E11" s="25" t="s">
        <v>41</v>
      </c>
      <c r="F11" s="25" t="s">
        <v>5</v>
      </c>
    </row>
    <row r="12">
      <c r="A12" s="25">
        <v>10</v>
      </c>
      <c r="B12" s="25" t="s">
        <v>41</v>
      </c>
      <c r="C12" s="25" t="s">
        <v>42</v>
      </c>
      <c r="D12" s="25" t="s">
        <v>41</v>
      </c>
      <c r="E12" s="25" t="s">
        <v>41</v>
      </c>
      <c r="F12" s="25" t="s">
        <v>5</v>
      </c>
    </row>
    <row r="13">
      <c r="A13" s="25">
        <v>11</v>
      </c>
      <c r="B13" s="25" t="s">
        <v>41</v>
      </c>
      <c r="C13" s="25" t="s">
        <v>43</v>
      </c>
      <c r="D13" s="25" t="s">
        <v>41</v>
      </c>
      <c r="E13" s="25" t="s">
        <v>41</v>
      </c>
      <c r="F13" s="25" t="s">
        <v>5</v>
      </c>
    </row>
    <row r="14">
      <c r="A14" s="25">
        <v>12</v>
      </c>
      <c r="B14" s="25" t="s">
        <v>41</v>
      </c>
      <c r="C14" s="25" t="s">
        <v>42</v>
      </c>
      <c r="D14" s="25" t="s">
        <v>41</v>
      </c>
      <c r="E14" s="25" t="s">
        <v>41</v>
      </c>
      <c r="F14" s="25" t="s">
        <v>5</v>
      </c>
    </row>
    <row r="15">
      <c r="A15" s="25">
        <v>13</v>
      </c>
      <c r="B15" s="25" t="s">
        <v>41</v>
      </c>
      <c r="C15" s="25" t="s">
        <v>42</v>
      </c>
      <c r="D15" s="25" t="s">
        <v>41</v>
      </c>
      <c r="E15" s="25" t="s">
        <v>41</v>
      </c>
      <c r="F15" s="25" t="s">
        <v>5</v>
      </c>
    </row>
    <row r="16">
      <c r="A16" s="25">
        <v>14</v>
      </c>
      <c r="B16" s="25" t="s">
        <v>41</v>
      </c>
      <c r="C16" s="25" t="s">
        <v>42</v>
      </c>
      <c r="D16" s="25" t="s">
        <v>41</v>
      </c>
      <c r="E16" s="25" t="s">
        <v>41</v>
      </c>
      <c r="F16" s="25" t="s">
        <v>5</v>
      </c>
    </row>
    <row r="17">
      <c r="A17" s="25">
        <v>15</v>
      </c>
      <c r="B17" s="25" t="s">
        <v>42</v>
      </c>
      <c r="C17" s="25" t="s">
        <v>43</v>
      </c>
      <c r="D17" s="25" t="s">
        <v>41</v>
      </c>
      <c r="E17" s="25" t="s">
        <v>41</v>
      </c>
      <c r="F17" s="25" t="s">
        <v>5</v>
      </c>
    </row>
    <row r="18">
      <c r="A18" s="25">
        <v>16</v>
      </c>
      <c r="B18" s="25" t="s">
        <v>42</v>
      </c>
      <c r="C18" s="25" t="s">
        <v>43</v>
      </c>
      <c r="D18" s="25" t="s">
        <v>41</v>
      </c>
      <c r="E18" s="25" t="s">
        <v>41</v>
      </c>
      <c r="F18" s="25" t="s">
        <v>5</v>
      </c>
    </row>
    <row r="19">
      <c r="A19" s="25">
        <v>17</v>
      </c>
      <c r="B19" s="25" t="s">
        <v>41</v>
      </c>
      <c r="C19" s="25" t="s">
        <v>43</v>
      </c>
      <c r="D19" s="25" t="s">
        <v>41</v>
      </c>
      <c r="E19" s="25" t="s">
        <v>41</v>
      </c>
      <c r="F19" s="25" t="s">
        <v>5</v>
      </c>
    </row>
    <row r="20">
      <c r="A20" s="25">
        <v>18</v>
      </c>
      <c r="B20" s="25" t="s">
        <v>41</v>
      </c>
      <c r="C20" s="25" t="s">
        <v>42</v>
      </c>
      <c r="D20" s="25" t="s">
        <v>41</v>
      </c>
      <c r="E20" s="25" t="s">
        <v>41</v>
      </c>
      <c r="F20" s="25" t="s">
        <v>5</v>
      </c>
    </row>
    <row r="21">
      <c r="A21" s="25">
        <v>19</v>
      </c>
      <c r="B21" s="25" t="s">
        <v>42</v>
      </c>
      <c r="C21" s="25" t="s">
        <v>43</v>
      </c>
      <c r="D21" s="25" t="s">
        <v>41</v>
      </c>
      <c r="E21" s="25" t="s">
        <v>41</v>
      </c>
      <c r="F21" s="25" t="s">
        <v>5</v>
      </c>
    </row>
    <row r="22">
      <c r="A22" s="25">
        <v>20</v>
      </c>
      <c r="B22" s="25" t="s">
        <v>41</v>
      </c>
      <c r="C22" s="25" t="s">
        <v>43</v>
      </c>
      <c r="D22" s="25" t="s">
        <v>41</v>
      </c>
      <c r="E22" s="25" t="s">
        <v>41</v>
      </c>
      <c r="F22" s="25" t="s">
        <v>5</v>
      </c>
    </row>
    <row r="23">
      <c r="A23" s="25">
        <v>21</v>
      </c>
      <c r="B23" s="25" t="s">
        <v>41</v>
      </c>
      <c r="C23" s="25" t="s">
        <v>42</v>
      </c>
      <c r="D23" s="25" t="s">
        <v>41</v>
      </c>
      <c r="E23" s="25" t="s">
        <v>41</v>
      </c>
      <c r="F23" s="25" t="s">
        <v>5</v>
      </c>
    </row>
    <row r="24">
      <c r="A24" s="25">
        <v>22</v>
      </c>
      <c r="B24" s="25" t="s">
        <v>41</v>
      </c>
      <c r="C24" s="25" t="s">
        <v>43</v>
      </c>
      <c r="D24" s="25" t="s">
        <v>41</v>
      </c>
      <c r="E24" s="25" t="s">
        <v>41</v>
      </c>
      <c r="F24" s="25" t="s">
        <v>5</v>
      </c>
    </row>
    <row r="25">
      <c r="A25" s="25">
        <v>23</v>
      </c>
      <c r="B25" s="25" t="s">
        <v>41</v>
      </c>
      <c r="C25" s="25" t="s">
        <v>42</v>
      </c>
      <c r="D25" s="25" t="s">
        <v>41</v>
      </c>
      <c r="E25" s="25" t="s">
        <v>41</v>
      </c>
      <c r="F25" s="25" t="s">
        <v>5</v>
      </c>
    </row>
    <row r="26">
      <c r="A26" s="25">
        <v>24</v>
      </c>
      <c r="B26" s="25" t="s">
        <v>41</v>
      </c>
      <c r="C26" s="25" t="s">
        <v>42</v>
      </c>
      <c r="D26" s="25" t="s">
        <v>41</v>
      </c>
      <c r="E26" s="25" t="s">
        <v>41</v>
      </c>
      <c r="F26" s="25" t="s">
        <v>5</v>
      </c>
    </row>
    <row r="27">
      <c r="A27" s="25">
        <v>25</v>
      </c>
      <c r="B27" s="25" t="s">
        <v>41</v>
      </c>
      <c r="C27" s="25" t="s">
        <v>42</v>
      </c>
      <c r="D27" s="25" t="s">
        <v>41</v>
      </c>
      <c r="E27" s="25" t="s">
        <v>41</v>
      </c>
      <c r="F27" s="25" t="s">
        <v>5</v>
      </c>
    </row>
    <row r="28">
      <c r="A28" s="25">
        <v>26</v>
      </c>
      <c r="B28" s="25" t="s">
        <v>41</v>
      </c>
      <c r="C28" s="25" t="s">
        <v>42</v>
      </c>
      <c r="D28" s="25" t="s">
        <v>41</v>
      </c>
      <c r="E28" s="25" t="s">
        <v>41</v>
      </c>
      <c r="F28" s="25" t="s">
        <v>5</v>
      </c>
    </row>
    <row r="29">
      <c r="A29" s="25">
        <v>27</v>
      </c>
      <c r="B29" s="25" t="s">
        <v>41</v>
      </c>
      <c r="C29" s="25" t="s">
        <v>42</v>
      </c>
      <c r="D29" s="25" t="s">
        <v>41</v>
      </c>
      <c r="E29" s="25" t="s">
        <v>41</v>
      </c>
      <c r="F29" s="25" t="s">
        <v>5</v>
      </c>
    </row>
    <row r="30">
      <c r="A30" s="25">
        <v>28</v>
      </c>
      <c r="B30" s="25" t="s">
        <v>41</v>
      </c>
      <c r="C30" s="25" t="s">
        <v>42</v>
      </c>
      <c r="D30" s="25" t="s">
        <v>41</v>
      </c>
      <c r="E30" s="25" t="s">
        <v>41</v>
      </c>
      <c r="F30" s="25" t="s">
        <v>5</v>
      </c>
    </row>
    <row r="31">
      <c r="A31" s="25">
        <v>29</v>
      </c>
      <c r="B31" s="25" t="s">
        <v>41</v>
      </c>
      <c r="C31" s="25" t="s">
        <v>42</v>
      </c>
      <c r="D31" s="25" t="s">
        <v>41</v>
      </c>
      <c r="E31" s="25" t="s">
        <v>41</v>
      </c>
      <c r="F31" s="25" t="s">
        <v>5</v>
      </c>
    </row>
    <row r="32">
      <c r="A32" s="25">
        <v>30</v>
      </c>
      <c r="B32" s="25" t="s">
        <v>41</v>
      </c>
      <c r="C32" s="25" t="s">
        <v>42</v>
      </c>
      <c r="D32" s="25" t="s">
        <v>41</v>
      </c>
      <c r="E32" s="25" t="s">
        <v>41</v>
      </c>
      <c r="F32" s="25" t="s">
        <v>5</v>
      </c>
    </row>
    <row r="33">
      <c r="A33" s="25">
        <v>31</v>
      </c>
      <c r="B33" s="25" t="s">
        <v>41</v>
      </c>
      <c r="C33" s="25" t="s">
        <v>42</v>
      </c>
      <c r="D33" s="25" t="s">
        <v>41</v>
      </c>
      <c r="E33" s="25" t="s">
        <v>41</v>
      </c>
      <c r="F33" s="25" t="s">
        <v>5</v>
      </c>
    </row>
    <row r="34">
      <c r="A34" s="25">
        <v>32</v>
      </c>
      <c r="B34" s="25" t="s">
        <v>41</v>
      </c>
      <c r="C34" s="25" t="s">
        <v>42</v>
      </c>
      <c r="D34" s="25" t="s">
        <v>41</v>
      </c>
      <c r="E34" s="25" t="s">
        <v>41</v>
      </c>
      <c r="F34" s="25" t="s">
        <v>5</v>
      </c>
    </row>
    <row r="35">
      <c r="A35" s="25">
        <v>33</v>
      </c>
      <c r="B35" s="25" t="s">
        <v>41</v>
      </c>
      <c r="C35" s="25" t="s">
        <v>43</v>
      </c>
      <c r="D35" s="25" t="s">
        <v>41</v>
      </c>
      <c r="E35" s="25" t="s">
        <v>41</v>
      </c>
      <c r="F35" s="25" t="s">
        <v>5</v>
      </c>
    </row>
    <row r="36">
      <c r="A36" s="25">
        <v>34</v>
      </c>
      <c r="B36" s="25" t="s">
        <v>41</v>
      </c>
      <c r="C36" s="25" t="s">
        <v>43</v>
      </c>
      <c r="D36" s="25" t="s">
        <v>41</v>
      </c>
      <c r="E36" s="25" t="s">
        <v>41</v>
      </c>
      <c r="F36" s="25" t="s">
        <v>5</v>
      </c>
    </row>
    <row r="37">
      <c r="A37" s="25">
        <v>35</v>
      </c>
      <c r="B37" s="25" t="s">
        <v>41</v>
      </c>
      <c r="C37" s="25" t="s">
        <v>42</v>
      </c>
      <c r="D37" s="25" t="s">
        <v>41</v>
      </c>
      <c r="E37" s="25" t="s">
        <v>41</v>
      </c>
      <c r="F37" s="25" t="s">
        <v>5</v>
      </c>
    </row>
    <row r="38">
      <c r="A38" s="25">
        <v>36</v>
      </c>
      <c r="B38" s="25" t="s">
        <v>41</v>
      </c>
      <c r="C38" s="25" t="s">
        <v>42</v>
      </c>
      <c r="D38" s="25" t="s">
        <v>41</v>
      </c>
      <c r="E38" s="25" t="s">
        <v>41</v>
      </c>
      <c r="F38" s="25" t="s">
        <v>5</v>
      </c>
    </row>
    <row r="39">
      <c r="A39" s="25">
        <v>37</v>
      </c>
      <c r="B39" s="25" t="s">
        <v>41</v>
      </c>
      <c r="C39" s="25" t="s">
        <v>42</v>
      </c>
      <c r="D39" s="25" t="s">
        <v>41</v>
      </c>
      <c r="E39" s="25" t="s">
        <v>41</v>
      </c>
      <c r="F39" s="25" t="s">
        <v>5</v>
      </c>
    </row>
    <row r="40">
      <c r="A40" s="25">
        <v>38</v>
      </c>
      <c r="B40" s="25" t="s">
        <v>41</v>
      </c>
      <c r="C40" s="25" t="s">
        <v>42</v>
      </c>
      <c r="D40" s="25" t="s">
        <v>41</v>
      </c>
      <c r="E40" s="25" t="s">
        <v>41</v>
      </c>
      <c r="F40" s="25" t="s">
        <v>5</v>
      </c>
    </row>
    <row r="41">
      <c r="A41" s="25">
        <v>39</v>
      </c>
      <c r="B41" s="25" t="s">
        <v>41</v>
      </c>
      <c r="C41" s="25" t="s">
        <v>42</v>
      </c>
      <c r="D41" s="25" t="s">
        <v>41</v>
      </c>
      <c r="E41" s="25" t="s">
        <v>41</v>
      </c>
      <c r="F41" s="25" t="s">
        <v>5</v>
      </c>
    </row>
    <row r="42">
      <c r="A42" s="25">
        <v>40</v>
      </c>
      <c r="B42" s="25" t="s">
        <v>41</v>
      </c>
      <c r="C42" s="25" t="s">
        <v>42</v>
      </c>
      <c r="D42" s="25" t="s">
        <v>41</v>
      </c>
      <c r="E42" s="25" t="s">
        <v>41</v>
      </c>
      <c r="F42" s="25" t="s">
        <v>5</v>
      </c>
    </row>
    <row r="43">
      <c r="A43" s="25">
        <v>41</v>
      </c>
      <c r="B43" s="25" t="s">
        <v>41</v>
      </c>
      <c r="C43" s="25" t="s">
        <v>42</v>
      </c>
      <c r="D43" s="25" t="s">
        <v>41</v>
      </c>
      <c r="E43" s="25" t="s">
        <v>41</v>
      </c>
      <c r="F43" s="25" t="s">
        <v>5</v>
      </c>
    </row>
    <row r="44">
      <c r="A44" s="25">
        <v>42</v>
      </c>
      <c r="B44" s="25" t="s">
        <v>41</v>
      </c>
      <c r="C44" s="25" t="s">
        <v>41</v>
      </c>
      <c r="D44" s="25" t="s">
        <v>41</v>
      </c>
      <c r="E44" s="25" t="s">
        <v>41</v>
      </c>
      <c r="F44" s="25" t="s">
        <v>5</v>
      </c>
    </row>
    <row r="45">
      <c r="A45" s="25">
        <v>43</v>
      </c>
      <c r="B45" s="25" t="s">
        <v>41</v>
      </c>
      <c r="C45" s="25" t="s">
        <v>42</v>
      </c>
      <c r="D45" s="25" t="s">
        <v>41</v>
      </c>
      <c r="E45" s="25" t="s">
        <v>41</v>
      </c>
      <c r="F45" s="25" t="s">
        <v>5</v>
      </c>
    </row>
    <row r="46">
      <c r="A46" s="25">
        <v>44</v>
      </c>
      <c r="B46" s="25" t="s">
        <v>41</v>
      </c>
      <c r="C46" s="25" t="s">
        <v>42</v>
      </c>
      <c r="D46" s="25" t="s">
        <v>41</v>
      </c>
      <c r="E46" s="25" t="s">
        <v>41</v>
      </c>
      <c r="F46" s="25" t="s">
        <v>5</v>
      </c>
    </row>
    <row r="47">
      <c r="A47" s="25">
        <v>45</v>
      </c>
      <c r="B47" s="25" t="s">
        <v>41</v>
      </c>
      <c r="C47" s="25" t="s">
        <v>43</v>
      </c>
      <c r="D47" s="25" t="s">
        <v>41</v>
      </c>
      <c r="E47" s="25" t="s">
        <v>41</v>
      </c>
      <c r="F47" s="25" t="s">
        <v>5</v>
      </c>
    </row>
    <row r="48">
      <c r="A48" s="25">
        <v>46</v>
      </c>
      <c r="B48" s="25" t="s">
        <v>41</v>
      </c>
      <c r="C48" s="25" t="s">
        <v>42</v>
      </c>
      <c r="D48" s="25" t="s">
        <v>41</v>
      </c>
      <c r="E48" s="25" t="s">
        <v>41</v>
      </c>
      <c r="F48" s="25" t="s">
        <v>5</v>
      </c>
    </row>
    <row r="49">
      <c r="A49" s="25">
        <v>47</v>
      </c>
      <c r="B49" s="25" t="s">
        <v>41</v>
      </c>
      <c r="C49" s="25" t="s">
        <v>43</v>
      </c>
      <c r="D49" s="25" t="s">
        <v>41</v>
      </c>
      <c r="E49" s="25" t="s">
        <v>41</v>
      </c>
      <c r="F49" s="25" t="s">
        <v>5</v>
      </c>
    </row>
    <row r="50">
      <c r="A50" s="25">
        <v>48</v>
      </c>
      <c r="B50" s="25" t="s">
        <v>41</v>
      </c>
      <c r="C50" s="25" t="s">
        <v>42</v>
      </c>
      <c r="D50" s="25" t="s">
        <v>41</v>
      </c>
      <c r="E50" s="25" t="s">
        <v>41</v>
      </c>
      <c r="F50" s="25" t="s">
        <v>5</v>
      </c>
    </row>
    <row r="51">
      <c r="A51" s="25">
        <v>49</v>
      </c>
      <c r="B51" s="25" t="s">
        <v>41</v>
      </c>
      <c r="C51" s="25" t="s">
        <v>43</v>
      </c>
      <c r="D51" s="25" t="s">
        <v>41</v>
      </c>
      <c r="E51" s="25" t="s">
        <v>41</v>
      </c>
      <c r="F51" s="25" t="s">
        <v>5</v>
      </c>
    </row>
    <row r="52">
      <c r="A52" s="25">
        <v>50</v>
      </c>
      <c r="B52" s="25" t="s">
        <v>41</v>
      </c>
      <c r="C52" s="25" t="s">
        <v>42</v>
      </c>
      <c r="D52" s="25" t="s">
        <v>41</v>
      </c>
      <c r="E52" s="25" t="s">
        <v>41</v>
      </c>
      <c r="F52" s="25" t="s">
        <v>5</v>
      </c>
    </row>
    <row r="53">
      <c r="A53" s="25">
        <v>51</v>
      </c>
      <c r="B53" s="25" t="s">
        <v>43</v>
      </c>
      <c r="C53" s="25" t="s">
        <v>42</v>
      </c>
      <c r="D53" s="25" t="s">
        <v>42</v>
      </c>
      <c r="E53" s="25" t="s">
        <v>42</v>
      </c>
      <c r="F53" s="25" t="s">
        <v>6</v>
      </c>
    </row>
    <row r="54">
      <c r="A54" s="25">
        <v>52</v>
      </c>
      <c r="B54" s="25" t="s">
        <v>42</v>
      </c>
      <c r="C54" s="25" t="s">
        <v>42</v>
      </c>
      <c r="D54" s="25" t="s">
        <v>42</v>
      </c>
      <c r="E54" s="25" t="s">
        <v>42</v>
      </c>
      <c r="F54" s="25" t="s">
        <v>6</v>
      </c>
    </row>
    <row r="55">
      <c r="A55" s="25">
        <v>53</v>
      </c>
      <c r="B55" s="25" t="s">
        <v>43</v>
      </c>
      <c r="C55" s="25" t="s">
        <v>42</v>
      </c>
      <c r="D55" s="25" t="s">
        <v>42</v>
      </c>
      <c r="E55" s="25" t="s">
        <v>42</v>
      </c>
      <c r="F55" s="25" t="s">
        <v>6</v>
      </c>
    </row>
    <row r="56">
      <c r="A56" s="25">
        <v>54</v>
      </c>
      <c r="B56" s="25" t="s">
        <v>41</v>
      </c>
      <c r="C56" s="25" t="s">
        <v>41</v>
      </c>
      <c r="D56" s="25" t="s">
        <v>42</v>
      </c>
      <c r="E56" s="25" t="s">
        <v>42</v>
      </c>
      <c r="F56" s="25" t="s">
        <v>6</v>
      </c>
    </row>
    <row r="57">
      <c r="A57" s="25">
        <v>55</v>
      </c>
      <c r="B57" s="25" t="s">
        <v>42</v>
      </c>
      <c r="C57" s="25" t="s">
        <v>41</v>
      </c>
      <c r="D57" s="25" t="s">
        <v>42</v>
      </c>
      <c r="E57" s="25" t="s">
        <v>42</v>
      </c>
      <c r="F57" s="25" t="s">
        <v>6</v>
      </c>
    </row>
    <row r="58">
      <c r="A58" s="25">
        <v>56</v>
      </c>
      <c r="B58" s="25" t="s">
        <v>42</v>
      </c>
      <c r="C58" s="25" t="s">
        <v>41</v>
      </c>
      <c r="D58" s="25" t="s">
        <v>42</v>
      </c>
      <c r="E58" s="25" t="s">
        <v>42</v>
      </c>
      <c r="F58" s="25" t="s">
        <v>6</v>
      </c>
    </row>
    <row r="59">
      <c r="A59" s="25">
        <v>57</v>
      </c>
      <c r="B59" s="25" t="s">
        <v>42</v>
      </c>
      <c r="C59" s="25" t="s">
        <v>42</v>
      </c>
      <c r="D59" s="25" t="s">
        <v>42</v>
      </c>
      <c r="E59" s="25" t="s">
        <v>42</v>
      </c>
      <c r="F59" s="25" t="s">
        <v>6</v>
      </c>
    </row>
    <row r="60">
      <c r="A60" s="25">
        <v>58</v>
      </c>
      <c r="B60" s="25" t="s">
        <v>41</v>
      </c>
      <c r="C60" s="25" t="s">
        <v>41</v>
      </c>
      <c r="D60" s="25" t="s">
        <v>42</v>
      </c>
      <c r="E60" s="25" t="s">
        <v>42</v>
      </c>
      <c r="F60" s="25" t="s">
        <v>6</v>
      </c>
    </row>
    <row r="61">
      <c r="A61" s="25">
        <v>59</v>
      </c>
      <c r="B61" s="25" t="s">
        <v>42</v>
      </c>
      <c r="C61" s="25" t="s">
        <v>42</v>
      </c>
      <c r="D61" s="25" t="s">
        <v>42</v>
      </c>
      <c r="E61" s="25" t="s">
        <v>42</v>
      </c>
      <c r="F61" s="25" t="s">
        <v>6</v>
      </c>
    </row>
    <row r="62">
      <c r="A62" s="25">
        <v>60</v>
      </c>
      <c r="B62" s="25" t="s">
        <v>41</v>
      </c>
      <c r="C62" s="25" t="s">
        <v>41</v>
      </c>
      <c r="D62" s="25" t="s">
        <v>42</v>
      </c>
      <c r="E62" s="25" t="s">
        <v>42</v>
      </c>
      <c r="F62" s="25" t="s">
        <v>6</v>
      </c>
    </row>
    <row r="63">
      <c r="A63" s="25">
        <v>61</v>
      </c>
      <c r="B63" s="25" t="s">
        <v>41</v>
      </c>
      <c r="C63" s="25" t="s">
        <v>41</v>
      </c>
      <c r="D63" s="25" t="s">
        <v>42</v>
      </c>
      <c r="E63" s="25" t="s">
        <v>42</v>
      </c>
      <c r="F63" s="25" t="s">
        <v>6</v>
      </c>
    </row>
    <row r="64">
      <c r="A64" s="25">
        <v>62</v>
      </c>
      <c r="B64" s="25" t="s">
        <v>42</v>
      </c>
      <c r="C64" s="25" t="s">
        <v>42</v>
      </c>
      <c r="D64" s="25" t="s">
        <v>42</v>
      </c>
      <c r="E64" s="25" t="s">
        <v>42</v>
      </c>
      <c r="F64" s="25" t="s">
        <v>6</v>
      </c>
    </row>
    <row r="65">
      <c r="A65" s="25">
        <v>63</v>
      </c>
      <c r="B65" s="25" t="s">
        <v>42</v>
      </c>
      <c r="C65" s="25" t="s">
        <v>41</v>
      </c>
      <c r="D65" s="25" t="s">
        <v>42</v>
      </c>
      <c r="E65" s="25" t="s">
        <v>42</v>
      </c>
      <c r="F65" s="25" t="s">
        <v>6</v>
      </c>
    </row>
    <row r="66">
      <c r="A66" s="25">
        <v>64</v>
      </c>
      <c r="B66" s="25" t="s">
        <v>42</v>
      </c>
      <c r="C66" s="25" t="s">
        <v>42</v>
      </c>
      <c r="D66" s="25" t="s">
        <v>42</v>
      </c>
      <c r="E66" s="25" t="s">
        <v>42</v>
      </c>
      <c r="F66" s="25" t="s">
        <v>6</v>
      </c>
    </row>
    <row r="67">
      <c r="A67" s="25">
        <v>65</v>
      </c>
      <c r="B67" s="25" t="s">
        <v>42</v>
      </c>
      <c r="C67" s="25" t="s">
        <v>42</v>
      </c>
      <c r="D67" s="25" t="s">
        <v>42</v>
      </c>
      <c r="E67" s="25" t="s">
        <v>42</v>
      </c>
      <c r="F67" s="25" t="s">
        <v>6</v>
      </c>
    </row>
    <row r="68">
      <c r="A68" s="25">
        <v>66</v>
      </c>
      <c r="B68" s="25" t="s">
        <v>42</v>
      </c>
      <c r="C68" s="25" t="s">
        <v>42</v>
      </c>
      <c r="D68" s="25" t="s">
        <v>42</v>
      </c>
      <c r="E68" s="25" t="s">
        <v>42</v>
      </c>
      <c r="F68" s="25" t="s">
        <v>6</v>
      </c>
    </row>
    <row r="69">
      <c r="A69" s="25">
        <v>67</v>
      </c>
      <c r="B69" s="25" t="s">
        <v>42</v>
      </c>
      <c r="C69" s="25" t="s">
        <v>42</v>
      </c>
      <c r="D69" s="25" t="s">
        <v>42</v>
      </c>
      <c r="E69" s="25" t="s">
        <v>42</v>
      </c>
      <c r="F69" s="25" t="s">
        <v>6</v>
      </c>
    </row>
    <row r="70">
      <c r="A70" s="25">
        <v>68</v>
      </c>
      <c r="B70" s="25" t="s">
        <v>42</v>
      </c>
      <c r="C70" s="25" t="s">
        <v>41</v>
      </c>
      <c r="D70" s="25" t="s">
        <v>42</v>
      </c>
      <c r="E70" s="25" t="s">
        <v>42</v>
      </c>
      <c r="F70" s="25" t="s">
        <v>6</v>
      </c>
    </row>
    <row r="71">
      <c r="A71" s="25">
        <v>69</v>
      </c>
      <c r="B71" s="25" t="s">
        <v>42</v>
      </c>
      <c r="C71" s="25" t="s">
        <v>41</v>
      </c>
      <c r="D71" s="25" t="s">
        <v>42</v>
      </c>
      <c r="E71" s="25" t="s">
        <v>42</v>
      </c>
      <c r="F71" s="25" t="s">
        <v>6</v>
      </c>
    </row>
    <row r="72">
      <c r="A72" s="25">
        <v>70</v>
      </c>
      <c r="B72" s="25" t="s">
        <v>42</v>
      </c>
      <c r="C72" s="25" t="s">
        <v>41</v>
      </c>
      <c r="D72" s="25" t="s">
        <v>42</v>
      </c>
      <c r="E72" s="25" t="s">
        <v>42</v>
      </c>
      <c r="F72" s="25" t="s">
        <v>6</v>
      </c>
    </row>
    <row r="73">
      <c r="A73" s="25">
        <v>71</v>
      </c>
      <c r="B73" s="25" t="s">
        <v>42</v>
      </c>
      <c r="C73" s="25" t="s">
        <v>42</v>
      </c>
      <c r="D73" s="25" t="s">
        <v>42</v>
      </c>
      <c r="E73" s="25" t="s">
        <v>43</v>
      </c>
      <c r="F73" s="25" t="s">
        <v>6</v>
      </c>
    </row>
    <row r="74">
      <c r="A74" s="25">
        <v>72</v>
      </c>
      <c r="B74" s="25" t="s">
        <v>42</v>
      </c>
      <c r="C74" s="25" t="s">
        <v>41</v>
      </c>
      <c r="D74" s="25" t="s">
        <v>42</v>
      </c>
      <c r="E74" s="25" t="s">
        <v>42</v>
      </c>
      <c r="F74" s="25" t="s">
        <v>6</v>
      </c>
    </row>
    <row r="75">
      <c r="A75" s="25">
        <v>73</v>
      </c>
      <c r="B75" s="25" t="s">
        <v>42</v>
      </c>
      <c r="C75" s="25" t="s">
        <v>41</v>
      </c>
      <c r="D75" s="25" t="s">
        <v>42</v>
      </c>
      <c r="E75" s="25" t="s">
        <v>42</v>
      </c>
      <c r="F75" s="25" t="s">
        <v>6</v>
      </c>
    </row>
    <row r="76">
      <c r="A76" s="25">
        <v>74</v>
      </c>
      <c r="B76" s="25" t="s">
        <v>42</v>
      </c>
      <c r="C76" s="25" t="s">
        <v>41</v>
      </c>
      <c r="D76" s="25" t="s">
        <v>42</v>
      </c>
      <c r="E76" s="25" t="s">
        <v>42</v>
      </c>
      <c r="F76" s="25" t="s">
        <v>6</v>
      </c>
    </row>
    <row r="77">
      <c r="A77" s="25">
        <v>75</v>
      </c>
      <c r="B77" s="25" t="s">
        <v>42</v>
      </c>
      <c r="C77" s="25" t="s">
        <v>42</v>
      </c>
      <c r="D77" s="25" t="s">
        <v>42</v>
      </c>
      <c r="E77" s="25" t="s">
        <v>42</v>
      </c>
      <c r="F77" s="25" t="s">
        <v>6</v>
      </c>
    </row>
    <row r="78">
      <c r="A78" s="25">
        <v>76</v>
      </c>
      <c r="B78" s="25" t="s">
        <v>42</v>
      </c>
      <c r="C78" s="25" t="s">
        <v>42</v>
      </c>
      <c r="D78" s="25" t="s">
        <v>42</v>
      </c>
      <c r="E78" s="25" t="s">
        <v>42</v>
      </c>
      <c r="F78" s="25" t="s">
        <v>6</v>
      </c>
    </row>
    <row r="79">
      <c r="A79" s="25">
        <v>77</v>
      </c>
      <c r="B79" s="25" t="s">
        <v>43</v>
      </c>
      <c r="C79" s="25" t="s">
        <v>41</v>
      </c>
      <c r="D79" s="25" t="s">
        <v>42</v>
      </c>
      <c r="E79" s="25" t="s">
        <v>42</v>
      </c>
      <c r="F79" s="25" t="s">
        <v>6</v>
      </c>
    </row>
    <row r="80">
      <c r="A80" s="25">
        <v>78</v>
      </c>
      <c r="B80" s="25" t="s">
        <v>42</v>
      </c>
      <c r="C80" s="25" t="s">
        <v>42</v>
      </c>
      <c r="D80" s="25" t="s">
        <v>43</v>
      </c>
      <c r="E80" s="25" t="s">
        <v>42</v>
      </c>
      <c r="F80" s="25" t="s">
        <v>6</v>
      </c>
    </row>
    <row r="81">
      <c r="A81" s="25">
        <v>79</v>
      </c>
      <c r="B81" s="25" t="s">
        <v>42</v>
      </c>
      <c r="C81" s="25" t="s">
        <v>42</v>
      </c>
      <c r="D81" s="25" t="s">
        <v>42</v>
      </c>
      <c r="E81" s="25" t="s">
        <v>42</v>
      </c>
      <c r="F81" s="25" t="s">
        <v>6</v>
      </c>
    </row>
    <row r="82">
      <c r="A82" s="25">
        <v>80</v>
      </c>
      <c r="B82" s="25" t="s">
        <v>42</v>
      </c>
      <c r="C82" s="25" t="s">
        <v>41</v>
      </c>
      <c r="D82" s="25" t="s">
        <v>42</v>
      </c>
      <c r="E82" s="25" t="s">
        <v>42</v>
      </c>
      <c r="F82" s="25" t="s">
        <v>6</v>
      </c>
    </row>
    <row r="83">
      <c r="A83" s="25">
        <v>81</v>
      </c>
      <c r="B83" s="25" t="s">
        <v>41</v>
      </c>
      <c r="C83" s="25" t="s">
        <v>41</v>
      </c>
      <c r="D83" s="25" t="s">
        <v>42</v>
      </c>
      <c r="E83" s="25" t="s">
        <v>42</v>
      </c>
      <c r="F83" s="25" t="s">
        <v>6</v>
      </c>
    </row>
    <row r="84">
      <c r="A84" s="25">
        <v>82</v>
      </c>
      <c r="B84" s="25" t="s">
        <v>41</v>
      </c>
      <c r="C84" s="25" t="s">
        <v>41</v>
      </c>
      <c r="D84" s="25" t="s">
        <v>42</v>
      </c>
      <c r="E84" s="25" t="s">
        <v>42</v>
      </c>
      <c r="F84" s="25" t="s">
        <v>6</v>
      </c>
    </row>
    <row r="85">
      <c r="A85" s="25">
        <v>83</v>
      </c>
      <c r="B85" s="25" t="s">
        <v>42</v>
      </c>
      <c r="C85" s="25" t="s">
        <v>41</v>
      </c>
      <c r="D85" s="25" t="s">
        <v>42</v>
      </c>
      <c r="E85" s="25" t="s">
        <v>42</v>
      </c>
      <c r="F85" s="25" t="s">
        <v>6</v>
      </c>
    </row>
    <row r="86">
      <c r="A86" s="25">
        <v>84</v>
      </c>
      <c r="B86" s="25" t="s">
        <v>42</v>
      </c>
      <c r="C86" s="25" t="s">
        <v>41</v>
      </c>
      <c r="D86" s="25" t="s">
        <v>43</v>
      </c>
      <c r="E86" s="25" t="s">
        <v>42</v>
      </c>
      <c r="F86" s="25" t="s">
        <v>6</v>
      </c>
    </row>
    <row r="87">
      <c r="A87" s="25">
        <v>85</v>
      </c>
      <c r="B87" s="25" t="s">
        <v>41</v>
      </c>
      <c r="C87" s="25" t="s">
        <v>42</v>
      </c>
      <c r="D87" s="25" t="s">
        <v>42</v>
      </c>
      <c r="E87" s="25" t="s">
        <v>42</v>
      </c>
      <c r="F87" s="25" t="s">
        <v>6</v>
      </c>
    </row>
    <row r="88">
      <c r="A88" s="25">
        <v>86</v>
      </c>
      <c r="B88" s="25" t="s">
        <v>42</v>
      </c>
      <c r="C88" s="25" t="s">
        <v>42</v>
      </c>
      <c r="D88" s="25" t="s">
        <v>42</v>
      </c>
      <c r="E88" s="25" t="s">
        <v>42</v>
      </c>
      <c r="F88" s="25" t="s">
        <v>6</v>
      </c>
    </row>
    <row r="89">
      <c r="A89" s="25">
        <v>87</v>
      </c>
      <c r="B89" s="25" t="s">
        <v>42</v>
      </c>
      <c r="C89" s="25" t="s">
        <v>42</v>
      </c>
      <c r="D89" s="25" t="s">
        <v>42</v>
      </c>
      <c r="E89" s="25" t="s">
        <v>42</v>
      </c>
      <c r="F89" s="25" t="s">
        <v>6</v>
      </c>
    </row>
    <row r="90">
      <c r="A90" s="25">
        <v>88</v>
      </c>
      <c r="B90" s="25" t="s">
        <v>42</v>
      </c>
      <c r="C90" s="25" t="s">
        <v>41</v>
      </c>
      <c r="D90" s="25" t="s">
        <v>42</v>
      </c>
      <c r="E90" s="25" t="s">
        <v>42</v>
      </c>
      <c r="F90" s="25" t="s">
        <v>6</v>
      </c>
    </row>
    <row r="91">
      <c r="A91" s="25">
        <v>89</v>
      </c>
      <c r="B91" s="25" t="s">
        <v>42</v>
      </c>
      <c r="C91" s="25" t="s">
        <v>42</v>
      </c>
      <c r="D91" s="25" t="s">
        <v>42</v>
      </c>
      <c r="E91" s="25" t="s">
        <v>42</v>
      </c>
      <c r="F91" s="25" t="s">
        <v>6</v>
      </c>
    </row>
    <row r="92">
      <c r="A92" s="25">
        <v>90</v>
      </c>
      <c r="B92" s="25" t="s">
        <v>41</v>
      </c>
      <c r="C92" s="25" t="s">
        <v>41</v>
      </c>
      <c r="D92" s="25" t="s">
        <v>42</v>
      </c>
      <c r="E92" s="25" t="s">
        <v>42</v>
      </c>
      <c r="F92" s="25" t="s">
        <v>6</v>
      </c>
    </row>
    <row r="93">
      <c r="A93" s="25">
        <v>91</v>
      </c>
      <c r="B93" s="25" t="s">
        <v>41</v>
      </c>
      <c r="C93" s="25" t="s">
        <v>41</v>
      </c>
      <c r="D93" s="25" t="s">
        <v>42</v>
      </c>
      <c r="E93" s="25" t="s">
        <v>42</v>
      </c>
      <c r="F93" s="25" t="s">
        <v>6</v>
      </c>
    </row>
    <row r="94">
      <c r="A94" s="25">
        <v>92</v>
      </c>
      <c r="B94" s="25" t="s">
        <v>42</v>
      </c>
      <c r="C94" s="25" t="s">
        <v>42</v>
      </c>
      <c r="D94" s="25" t="s">
        <v>42</v>
      </c>
      <c r="E94" s="25" t="s">
        <v>42</v>
      </c>
      <c r="F94" s="25" t="s">
        <v>6</v>
      </c>
    </row>
    <row r="95">
      <c r="A95" s="25">
        <v>93</v>
      </c>
      <c r="B95" s="25" t="s">
        <v>42</v>
      </c>
      <c r="C95" s="25" t="s">
        <v>41</v>
      </c>
      <c r="D95" s="25" t="s">
        <v>42</v>
      </c>
      <c r="E95" s="25" t="s">
        <v>42</v>
      </c>
      <c r="F95" s="25" t="s">
        <v>6</v>
      </c>
    </row>
    <row r="96">
      <c r="A96" s="25">
        <v>94</v>
      </c>
      <c r="B96" s="25" t="s">
        <v>41</v>
      </c>
      <c r="C96" s="25" t="s">
        <v>41</v>
      </c>
      <c r="D96" s="25" t="s">
        <v>42</v>
      </c>
      <c r="E96" s="25" t="s">
        <v>42</v>
      </c>
      <c r="F96" s="25" t="s">
        <v>6</v>
      </c>
    </row>
    <row r="97">
      <c r="A97" s="25">
        <v>95</v>
      </c>
      <c r="B97" s="25" t="s">
        <v>42</v>
      </c>
      <c r="C97" s="25" t="s">
        <v>41</v>
      </c>
      <c r="D97" s="25" t="s">
        <v>42</v>
      </c>
      <c r="E97" s="25" t="s">
        <v>42</v>
      </c>
      <c r="F97" s="25" t="s">
        <v>6</v>
      </c>
    </row>
    <row r="98">
      <c r="A98" s="25">
        <v>96</v>
      </c>
      <c r="B98" s="25" t="s">
        <v>42</v>
      </c>
      <c r="C98" s="25" t="s">
        <v>42</v>
      </c>
      <c r="D98" s="25" t="s">
        <v>42</v>
      </c>
      <c r="E98" s="25" t="s">
        <v>42</v>
      </c>
      <c r="F98" s="25" t="s">
        <v>6</v>
      </c>
    </row>
    <row r="99">
      <c r="A99" s="25">
        <v>97</v>
      </c>
      <c r="B99" s="25" t="s">
        <v>42</v>
      </c>
      <c r="C99" s="25" t="s">
        <v>42</v>
      </c>
      <c r="D99" s="25" t="s">
        <v>42</v>
      </c>
      <c r="E99" s="25" t="s">
        <v>42</v>
      </c>
      <c r="F99" s="25" t="s">
        <v>6</v>
      </c>
    </row>
    <row r="100">
      <c r="A100" s="25">
        <v>98</v>
      </c>
      <c r="B100" s="25" t="s">
        <v>42</v>
      </c>
      <c r="C100" s="25" t="s">
        <v>42</v>
      </c>
      <c r="D100" s="25" t="s">
        <v>42</v>
      </c>
      <c r="E100" s="25" t="s">
        <v>42</v>
      </c>
      <c r="F100" s="25" t="s">
        <v>6</v>
      </c>
    </row>
    <row r="101">
      <c r="A101" s="25">
        <v>99</v>
      </c>
      <c r="B101" s="25" t="s">
        <v>41</v>
      </c>
      <c r="C101" s="25" t="s">
        <v>41</v>
      </c>
      <c r="D101" s="25" t="s">
        <v>42</v>
      </c>
      <c r="E101" s="25" t="s">
        <v>42</v>
      </c>
      <c r="F101" s="25" t="s">
        <v>6</v>
      </c>
    </row>
    <row r="102">
      <c r="A102" s="25">
        <v>100</v>
      </c>
      <c r="B102" s="25" t="s">
        <v>42</v>
      </c>
      <c r="C102" s="25" t="s">
        <v>41</v>
      </c>
      <c r="D102" s="25" t="s">
        <v>42</v>
      </c>
      <c r="E102" s="25" t="s">
        <v>42</v>
      </c>
      <c r="F102" s="25" t="s">
        <v>6</v>
      </c>
    </row>
    <row r="103">
      <c r="A103" s="25">
        <v>101</v>
      </c>
      <c r="B103" s="25" t="s">
        <v>42</v>
      </c>
      <c r="C103" s="25" t="s">
        <v>42</v>
      </c>
      <c r="D103" s="25" t="s">
        <v>43</v>
      </c>
      <c r="E103" s="25" t="s">
        <v>43</v>
      </c>
      <c r="F103" s="25" t="s">
        <v>7</v>
      </c>
    </row>
    <row r="104">
      <c r="A104" s="25">
        <v>102</v>
      </c>
      <c r="B104" s="25" t="s">
        <v>42</v>
      </c>
      <c r="C104" s="25" t="s">
        <v>41</v>
      </c>
      <c r="D104" s="25" t="s">
        <v>43</v>
      </c>
      <c r="E104" s="25" t="s">
        <v>43</v>
      </c>
      <c r="F104" s="25" t="s">
        <v>7</v>
      </c>
    </row>
    <row r="105">
      <c r="A105" s="25">
        <v>103</v>
      </c>
      <c r="B105" s="25" t="s">
        <v>43</v>
      </c>
      <c r="C105" s="25" t="s">
        <v>42</v>
      </c>
      <c r="D105" s="25" t="s">
        <v>43</v>
      </c>
      <c r="E105" s="25" t="s">
        <v>43</v>
      </c>
      <c r="F105" s="25" t="s">
        <v>7</v>
      </c>
    </row>
    <row r="106">
      <c r="A106" s="25">
        <v>104</v>
      </c>
      <c r="B106" s="25" t="s">
        <v>42</v>
      </c>
      <c r="C106" s="25" t="s">
        <v>42</v>
      </c>
      <c r="D106" s="25" t="s">
        <v>43</v>
      </c>
      <c r="E106" s="25" t="s">
        <v>43</v>
      </c>
      <c r="F106" s="25" t="s">
        <v>7</v>
      </c>
    </row>
    <row r="107">
      <c r="A107" s="25">
        <v>105</v>
      </c>
      <c r="B107" s="25" t="s">
        <v>42</v>
      </c>
      <c r="C107" s="25" t="s">
        <v>42</v>
      </c>
      <c r="D107" s="25" t="s">
        <v>43</v>
      </c>
      <c r="E107" s="25" t="s">
        <v>43</v>
      </c>
      <c r="F107" s="25" t="s">
        <v>7</v>
      </c>
    </row>
    <row r="108">
      <c r="A108" s="25">
        <v>106</v>
      </c>
      <c r="B108" s="25" t="s">
        <v>43</v>
      </c>
      <c r="C108" s="25" t="s">
        <v>42</v>
      </c>
      <c r="D108" s="25" t="s">
        <v>43</v>
      </c>
      <c r="E108" s="25" t="s">
        <v>43</v>
      </c>
      <c r="F108" s="25" t="s">
        <v>7</v>
      </c>
    </row>
    <row r="109">
      <c r="A109" s="25">
        <v>107</v>
      </c>
      <c r="B109" s="25" t="s">
        <v>41</v>
      </c>
      <c r="C109" s="25" t="s">
        <v>41</v>
      </c>
      <c r="D109" s="25" t="s">
        <v>42</v>
      </c>
      <c r="E109" s="25" t="s">
        <v>42</v>
      </c>
      <c r="F109" s="25" t="s">
        <v>7</v>
      </c>
    </row>
    <row r="110">
      <c r="A110" s="25">
        <v>108</v>
      </c>
      <c r="B110" s="25" t="s">
        <v>43</v>
      </c>
      <c r="C110" s="25" t="s">
        <v>42</v>
      </c>
      <c r="D110" s="25" t="s">
        <v>43</v>
      </c>
      <c r="E110" s="25" t="s">
        <v>43</v>
      </c>
      <c r="F110" s="25" t="s">
        <v>7</v>
      </c>
    </row>
    <row r="111">
      <c r="A111" s="25">
        <v>109</v>
      </c>
      <c r="B111" s="25" t="s">
        <v>42</v>
      </c>
      <c r="C111" s="25" t="s">
        <v>41</v>
      </c>
      <c r="D111" s="25" t="s">
        <v>43</v>
      </c>
      <c r="E111" s="25" t="s">
        <v>43</v>
      </c>
      <c r="F111" s="25" t="s">
        <v>7</v>
      </c>
    </row>
    <row r="112">
      <c r="A112" s="25">
        <v>110</v>
      </c>
      <c r="B112" s="25" t="s">
        <v>43</v>
      </c>
      <c r="C112" s="25" t="s">
        <v>42</v>
      </c>
      <c r="D112" s="25" t="s">
        <v>43</v>
      </c>
      <c r="E112" s="25" t="s">
        <v>43</v>
      </c>
      <c r="F112" s="25" t="s">
        <v>7</v>
      </c>
    </row>
    <row r="113">
      <c r="A113" s="25">
        <v>111</v>
      </c>
      <c r="B113" s="25" t="s">
        <v>42</v>
      </c>
      <c r="C113" s="25" t="s">
        <v>42</v>
      </c>
      <c r="D113" s="25" t="s">
        <v>43</v>
      </c>
      <c r="E113" s="25" t="s">
        <v>43</v>
      </c>
      <c r="F113" s="25" t="s">
        <v>7</v>
      </c>
    </row>
    <row r="114">
      <c r="A114" s="25">
        <v>112</v>
      </c>
      <c r="B114" s="25" t="s">
        <v>42</v>
      </c>
      <c r="C114" s="25" t="s">
        <v>41</v>
      </c>
      <c r="D114" s="25" t="s">
        <v>43</v>
      </c>
      <c r="E114" s="25" t="s">
        <v>43</v>
      </c>
      <c r="F114" s="25" t="s">
        <v>7</v>
      </c>
    </row>
    <row r="115">
      <c r="A115" s="25">
        <v>113</v>
      </c>
      <c r="B115" s="25" t="s">
        <v>43</v>
      </c>
      <c r="C115" s="25" t="s">
        <v>42</v>
      </c>
      <c r="D115" s="25" t="s">
        <v>43</v>
      </c>
      <c r="E115" s="25" t="s">
        <v>43</v>
      </c>
      <c r="F115" s="25" t="s">
        <v>7</v>
      </c>
    </row>
    <row r="116">
      <c r="A116" s="25">
        <v>114</v>
      </c>
      <c r="B116" s="25" t="s">
        <v>42</v>
      </c>
      <c r="C116" s="25" t="s">
        <v>41</v>
      </c>
      <c r="D116" s="25" t="s">
        <v>43</v>
      </c>
      <c r="E116" s="25" t="s">
        <v>43</v>
      </c>
      <c r="F116" s="25" t="s">
        <v>7</v>
      </c>
    </row>
    <row r="117">
      <c r="A117" s="25">
        <v>115</v>
      </c>
      <c r="B117" s="25" t="s">
        <v>42</v>
      </c>
      <c r="C117" s="25" t="s">
        <v>41</v>
      </c>
      <c r="D117" s="25" t="s">
        <v>43</v>
      </c>
      <c r="E117" s="25" t="s">
        <v>43</v>
      </c>
      <c r="F117" s="25" t="s">
        <v>7</v>
      </c>
    </row>
    <row r="118">
      <c r="A118" s="25">
        <v>116</v>
      </c>
      <c r="B118" s="25" t="s">
        <v>42</v>
      </c>
      <c r="C118" s="25" t="s">
        <v>42</v>
      </c>
      <c r="D118" s="25" t="s">
        <v>43</v>
      </c>
      <c r="E118" s="25" t="s">
        <v>43</v>
      </c>
      <c r="F118" s="25" t="s">
        <v>7</v>
      </c>
    </row>
    <row r="119">
      <c r="A119" s="25">
        <v>117</v>
      </c>
      <c r="B119" s="25" t="s">
        <v>42</v>
      </c>
      <c r="C119" s="25" t="s">
        <v>42</v>
      </c>
      <c r="D119" s="25" t="s">
        <v>43</v>
      </c>
      <c r="E119" s="25" t="s">
        <v>43</v>
      </c>
      <c r="F119" s="25" t="s">
        <v>7</v>
      </c>
    </row>
    <row r="120">
      <c r="A120" s="25">
        <v>118</v>
      </c>
      <c r="B120" s="25" t="s">
        <v>43</v>
      </c>
      <c r="C120" s="25" t="s">
        <v>43</v>
      </c>
      <c r="D120" s="25" t="s">
        <v>43</v>
      </c>
      <c r="E120" s="25" t="s">
        <v>43</v>
      </c>
      <c r="F120" s="25" t="s">
        <v>7</v>
      </c>
    </row>
    <row r="121">
      <c r="A121" s="25">
        <v>119</v>
      </c>
      <c r="B121" s="25" t="s">
        <v>43</v>
      </c>
      <c r="C121" s="25" t="s">
        <v>41</v>
      </c>
      <c r="D121" s="25" t="s">
        <v>43</v>
      </c>
      <c r="E121" s="25" t="s">
        <v>43</v>
      </c>
      <c r="F121" s="25" t="s">
        <v>7</v>
      </c>
    </row>
    <row r="122">
      <c r="A122" s="25">
        <v>120</v>
      </c>
      <c r="B122" s="25" t="s">
        <v>42</v>
      </c>
      <c r="C122" s="25" t="s">
        <v>41</v>
      </c>
      <c r="D122" s="25" t="s">
        <v>43</v>
      </c>
      <c r="E122" s="25" t="s">
        <v>42</v>
      </c>
      <c r="F122" s="25" t="s">
        <v>7</v>
      </c>
    </row>
    <row r="123">
      <c r="A123" s="25">
        <v>121</v>
      </c>
      <c r="B123" s="25" t="s">
        <v>43</v>
      </c>
      <c r="C123" s="25" t="s">
        <v>42</v>
      </c>
      <c r="D123" s="25" t="s">
        <v>43</v>
      </c>
      <c r="E123" s="25" t="s">
        <v>43</v>
      </c>
      <c r="F123" s="25" t="s">
        <v>7</v>
      </c>
    </row>
    <row r="124">
      <c r="A124" s="25">
        <v>122</v>
      </c>
      <c r="B124" s="25" t="s">
        <v>42</v>
      </c>
      <c r="C124" s="25" t="s">
        <v>41</v>
      </c>
      <c r="D124" s="25" t="s">
        <v>42</v>
      </c>
      <c r="E124" s="25" t="s">
        <v>43</v>
      </c>
      <c r="F124" s="25" t="s">
        <v>7</v>
      </c>
    </row>
    <row r="125">
      <c r="A125" s="25">
        <v>123</v>
      </c>
      <c r="B125" s="25" t="s">
        <v>43</v>
      </c>
      <c r="C125" s="25" t="s">
        <v>41</v>
      </c>
      <c r="D125" s="25" t="s">
        <v>43</v>
      </c>
      <c r="E125" s="25" t="s">
        <v>43</v>
      </c>
      <c r="F125" s="25" t="s">
        <v>7</v>
      </c>
    </row>
    <row r="126">
      <c r="A126" s="25">
        <v>124</v>
      </c>
      <c r="B126" s="25" t="s">
        <v>42</v>
      </c>
      <c r="C126" s="25" t="s">
        <v>41</v>
      </c>
      <c r="D126" s="25" t="s">
        <v>42</v>
      </c>
      <c r="E126" s="25" t="s">
        <v>43</v>
      </c>
      <c r="F126" s="25" t="s">
        <v>7</v>
      </c>
    </row>
    <row r="127">
      <c r="A127" s="25">
        <v>125</v>
      </c>
      <c r="B127" s="25" t="s">
        <v>42</v>
      </c>
      <c r="C127" s="25" t="s">
        <v>42</v>
      </c>
      <c r="D127" s="25" t="s">
        <v>43</v>
      </c>
      <c r="E127" s="25" t="s">
        <v>43</v>
      </c>
      <c r="F127" s="25" t="s">
        <v>7</v>
      </c>
    </row>
    <row r="128">
      <c r="A128" s="25">
        <v>126</v>
      </c>
      <c r="B128" s="25" t="s">
        <v>43</v>
      </c>
      <c r="C128" s="25" t="s">
        <v>42</v>
      </c>
      <c r="D128" s="25" t="s">
        <v>43</v>
      </c>
      <c r="E128" s="25" t="s">
        <v>43</v>
      </c>
      <c r="F128" s="25" t="s">
        <v>7</v>
      </c>
    </row>
    <row r="129">
      <c r="A129" s="25">
        <v>127</v>
      </c>
      <c r="B129" s="25" t="s">
        <v>42</v>
      </c>
      <c r="C129" s="25" t="s">
        <v>41</v>
      </c>
      <c r="D129" s="25" t="s">
        <v>42</v>
      </c>
      <c r="E129" s="25" t="s">
        <v>43</v>
      </c>
      <c r="F129" s="25" t="s">
        <v>7</v>
      </c>
    </row>
    <row r="130">
      <c r="A130" s="25">
        <v>128</v>
      </c>
      <c r="B130" s="25" t="s">
        <v>42</v>
      </c>
      <c r="C130" s="25" t="s">
        <v>42</v>
      </c>
      <c r="D130" s="25" t="s">
        <v>42</v>
      </c>
      <c r="E130" s="25" t="s">
        <v>43</v>
      </c>
      <c r="F130" s="25" t="s">
        <v>7</v>
      </c>
    </row>
    <row r="131">
      <c r="A131" s="25">
        <v>129</v>
      </c>
      <c r="B131" s="25" t="s">
        <v>42</v>
      </c>
      <c r="C131" s="25" t="s">
        <v>41</v>
      </c>
      <c r="D131" s="25" t="s">
        <v>43</v>
      </c>
      <c r="E131" s="25" t="s">
        <v>43</v>
      </c>
      <c r="F131" s="25" t="s">
        <v>7</v>
      </c>
    </row>
    <row r="132">
      <c r="A132" s="25">
        <v>130</v>
      </c>
      <c r="B132" s="25" t="s">
        <v>43</v>
      </c>
      <c r="C132" s="25" t="s">
        <v>42</v>
      </c>
      <c r="D132" s="25" t="s">
        <v>43</v>
      </c>
      <c r="E132" s="25" t="s">
        <v>42</v>
      </c>
      <c r="F132" s="25" t="s">
        <v>7</v>
      </c>
    </row>
    <row r="133">
      <c r="A133" s="25">
        <v>131</v>
      </c>
      <c r="B133" s="25" t="s">
        <v>43</v>
      </c>
      <c r="C133" s="25" t="s">
        <v>41</v>
      </c>
      <c r="D133" s="25" t="s">
        <v>43</v>
      </c>
      <c r="E133" s="25" t="s">
        <v>43</v>
      </c>
      <c r="F133" s="25" t="s">
        <v>7</v>
      </c>
    </row>
    <row r="134">
      <c r="A134" s="25">
        <v>132</v>
      </c>
      <c r="B134" s="25" t="s">
        <v>43</v>
      </c>
      <c r="C134" s="25" t="s">
        <v>43</v>
      </c>
      <c r="D134" s="25" t="s">
        <v>43</v>
      </c>
      <c r="E134" s="25" t="s">
        <v>43</v>
      </c>
      <c r="F134" s="25" t="s">
        <v>7</v>
      </c>
    </row>
    <row r="135">
      <c r="A135" s="25">
        <v>133</v>
      </c>
      <c r="B135" s="25" t="s">
        <v>42</v>
      </c>
      <c r="C135" s="25" t="s">
        <v>41</v>
      </c>
      <c r="D135" s="25" t="s">
        <v>43</v>
      </c>
      <c r="E135" s="25" t="s">
        <v>43</v>
      </c>
      <c r="F135" s="25" t="s">
        <v>7</v>
      </c>
    </row>
    <row r="136">
      <c r="A136" s="25">
        <v>134</v>
      </c>
      <c r="B136" s="25" t="s">
        <v>42</v>
      </c>
      <c r="C136" s="25" t="s">
        <v>41</v>
      </c>
      <c r="D136" s="25" t="s">
        <v>43</v>
      </c>
      <c r="E136" s="25" t="s">
        <v>42</v>
      </c>
      <c r="F136" s="25" t="s">
        <v>7</v>
      </c>
    </row>
    <row r="137">
      <c r="A137" s="25">
        <v>135</v>
      </c>
      <c r="B137" s="25" t="s">
        <v>42</v>
      </c>
      <c r="C137" s="25" t="s">
        <v>41</v>
      </c>
      <c r="D137" s="25" t="s">
        <v>43</v>
      </c>
      <c r="E137" s="25" t="s">
        <v>42</v>
      </c>
      <c r="F137" s="25" t="s">
        <v>7</v>
      </c>
    </row>
    <row r="138">
      <c r="A138" s="25">
        <v>136</v>
      </c>
      <c r="B138" s="25" t="s">
        <v>43</v>
      </c>
      <c r="C138" s="25" t="s">
        <v>42</v>
      </c>
      <c r="D138" s="25" t="s">
        <v>43</v>
      </c>
      <c r="E138" s="25" t="s">
        <v>43</v>
      </c>
      <c r="F138" s="25" t="s">
        <v>7</v>
      </c>
    </row>
    <row r="139">
      <c r="A139" s="25">
        <v>137</v>
      </c>
      <c r="B139" s="25" t="s">
        <v>42</v>
      </c>
      <c r="C139" s="25" t="s">
        <v>42</v>
      </c>
      <c r="D139" s="25" t="s">
        <v>43</v>
      </c>
      <c r="E139" s="25" t="s">
        <v>43</v>
      </c>
      <c r="F139" s="25" t="s">
        <v>7</v>
      </c>
    </row>
    <row r="140">
      <c r="A140" s="25">
        <v>138</v>
      </c>
      <c r="B140" s="25" t="s">
        <v>42</v>
      </c>
      <c r="C140" s="25" t="s">
        <v>42</v>
      </c>
      <c r="D140" s="25" t="s">
        <v>43</v>
      </c>
      <c r="E140" s="25" t="s">
        <v>43</v>
      </c>
      <c r="F140" s="25" t="s">
        <v>7</v>
      </c>
    </row>
    <row r="141">
      <c r="A141" s="25">
        <v>139</v>
      </c>
      <c r="B141" s="25" t="s">
        <v>42</v>
      </c>
      <c r="C141" s="25" t="s">
        <v>42</v>
      </c>
      <c r="D141" s="25" t="s">
        <v>42</v>
      </c>
      <c r="E141" s="25" t="s">
        <v>43</v>
      </c>
      <c r="F141" s="25" t="s">
        <v>7</v>
      </c>
    </row>
    <row r="142">
      <c r="A142" s="25">
        <v>140</v>
      </c>
      <c r="B142" s="25" t="s">
        <v>43</v>
      </c>
      <c r="C142" s="25" t="s">
        <v>42</v>
      </c>
      <c r="D142" s="25" t="s">
        <v>43</v>
      </c>
      <c r="E142" s="25" t="s">
        <v>43</v>
      </c>
      <c r="F142" s="25" t="s">
        <v>7</v>
      </c>
    </row>
    <row r="143">
      <c r="A143" s="25">
        <v>141</v>
      </c>
      <c r="B143" s="25" t="s">
        <v>42</v>
      </c>
      <c r="C143" s="25" t="s">
        <v>42</v>
      </c>
      <c r="D143" s="25" t="s">
        <v>43</v>
      </c>
      <c r="E143" s="25" t="s">
        <v>43</v>
      </c>
      <c r="F143" s="25" t="s">
        <v>7</v>
      </c>
    </row>
    <row r="144">
      <c r="A144" s="25">
        <v>142</v>
      </c>
      <c r="B144" s="25" t="s">
        <v>43</v>
      </c>
      <c r="C144" s="25" t="s">
        <v>42</v>
      </c>
      <c r="D144" s="25" t="s">
        <v>43</v>
      </c>
      <c r="E144" s="25" t="s">
        <v>43</v>
      </c>
      <c r="F144" s="25" t="s">
        <v>7</v>
      </c>
    </row>
    <row r="145">
      <c r="A145" s="25">
        <v>143</v>
      </c>
      <c r="B145" s="25" t="s">
        <v>42</v>
      </c>
      <c r="C145" s="25" t="s">
        <v>41</v>
      </c>
      <c r="D145" s="25" t="s">
        <v>43</v>
      </c>
      <c r="E145" s="25" t="s">
        <v>43</v>
      </c>
      <c r="F145" s="25" t="s">
        <v>7</v>
      </c>
    </row>
    <row r="146">
      <c r="A146" s="25">
        <v>144</v>
      </c>
      <c r="B146" s="25" t="s">
        <v>43</v>
      </c>
      <c r="C146" s="25" t="s">
        <v>42</v>
      </c>
      <c r="D146" s="25" t="s">
        <v>43</v>
      </c>
      <c r="E146" s="25" t="s">
        <v>43</v>
      </c>
      <c r="F146" s="25" t="s">
        <v>7</v>
      </c>
    </row>
    <row r="147">
      <c r="A147" s="25">
        <v>145</v>
      </c>
      <c r="B147" s="25" t="s">
        <v>42</v>
      </c>
      <c r="C147" s="25" t="s">
        <v>42</v>
      </c>
      <c r="D147" s="25" t="s">
        <v>43</v>
      </c>
      <c r="E147" s="25" t="s">
        <v>43</v>
      </c>
      <c r="F147" s="25" t="s">
        <v>7</v>
      </c>
    </row>
    <row r="148">
      <c r="A148" s="25">
        <v>146</v>
      </c>
      <c r="B148" s="25" t="s">
        <v>42</v>
      </c>
      <c r="C148" s="25" t="s">
        <v>42</v>
      </c>
      <c r="D148" s="25" t="s">
        <v>43</v>
      </c>
      <c r="E148" s="25" t="s">
        <v>43</v>
      </c>
      <c r="F148" s="25" t="s">
        <v>7</v>
      </c>
    </row>
    <row r="149">
      <c r="A149" s="25">
        <v>147</v>
      </c>
      <c r="B149" s="25" t="s">
        <v>42</v>
      </c>
      <c r="C149" s="25" t="s">
        <v>41</v>
      </c>
      <c r="D149" s="25" t="s">
        <v>43</v>
      </c>
      <c r="E149" s="25" t="s">
        <v>43</v>
      </c>
      <c r="F149" s="25" t="s">
        <v>7</v>
      </c>
    </row>
    <row r="150">
      <c r="A150" s="25">
        <v>148</v>
      </c>
      <c r="B150" s="25" t="s">
        <v>42</v>
      </c>
      <c r="C150" s="25" t="s">
        <v>42</v>
      </c>
      <c r="D150" s="25" t="s">
        <v>43</v>
      </c>
      <c r="E150" s="25" t="s">
        <v>43</v>
      </c>
      <c r="F150" s="25" t="s">
        <v>7</v>
      </c>
    </row>
    <row r="151">
      <c r="A151" s="25">
        <v>149</v>
      </c>
      <c r="B151" s="25" t="s">
        <v>42</v>
      </c>
      <c r="C151" s="25" t="s">
        <v>42</v>
      </c>
      <c r="D151" s="25" t="s">
        <v>43</v>
      </c>
      <c r="E151" s="25" t="s">
        <v>43</v>
      </c>
      <c r="F151" s="25" t="s">
        <v>7</v>
      </c>
    </row>
    <row r="152">
      <c r="A152" s="25">
        <v>150</v>
      </c>
      <c r="B152" s="25" t="s">
        <v>42</v>
      </c>
      <c r="C152" s="25" t="s">
        <v>42</v>
      </c>
      <c r="D152" s="25" t="s">
        <v>43</v>
      </c>
      <c r="E152" s="25" t="s">
        <v>43</v>
      </c>
      <c r="F152" s="25" t="s">
        <v>7</v>
      </c>
    </row>
  </sheetData>
  <mergeCells count="1">
    <mergeCell ref="A1:F1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1</cp:revision>
  <dcterms:created xsi:type="dcterms:W3CDTF">2026-07-03T00:47:05Z</dcterms:created>
  <dcterms:modified xsi:type="dcterms:W3CDTF">2026-07-14T07:34:48Z</dcterms:modified>
</cp:coreProperties>
</file>